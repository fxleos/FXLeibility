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4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5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6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7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8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9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0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11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12.xml" ContentType="application/vnd.openxmlformats-officedocument.drawing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drawings/drawing13.xml" ContentType="application/vnd.openxmlformats-officedocument.drawing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14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90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fxleos/Documents/MasterThesis/FXLeibility/FXLeibility/FXLeibility.Matlab/Experiment/Original/"/>
    </mc:Choice>
  </mc:AlternateContent>
  <bookViews>
    <workbookView xWindow="720" yWindow="460" windowWidth="24880" windowHeight="15540" tabRatio="500" firstSheet="6" activeTab="12"/>
  </bookViews>
  <sheets>
    <sheet name="Sheet1" sheetId="14" r:id="rId1"/>
    <sheet name="Germany_ESS" sheetId="3" r:id="rId2"/>
    <sheet name="Sheet2" sheetId="17" r:id="rId3"/>
    <sheet name="Germany_ESS_staking" sheetId="10" r:id="rId4"/>
    <sheet name="Germany_ESS_multitasking" sheetId="4" r:id="rId5"/>
    <sheet name="Germany_ESS (2)" sheetId="16" r:id="rId6"/>
    <sheet name="PJM_ESS_New" sheetId="11" r:id="rId7"/>
    <sheet name="PJM_ESS" sheetId="6" r:id="rId8"/>
    <sheet name="NSW_ESS_new" sheetId="12" r:id="rId9"/>
    <sheet name="NSW_ESS" sheetId="7" r:id="rId10"/>
    <sheet name="Germany_EV" sheetId="5" r:id="rId11"/>
    <sheet name="Germany_EV_new" sheetId="13" r:id="rId12"/>
    <sheet name="PJM_EV" sheetId="8" r:id="rId13"/>
    <sheet name="NSW_EV" sheetId="9" r:id="rId14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3" i="8" l="1"/>
  <c r="E35" i="8"/>
  <c r="D33" i="8"/>
  <c r="D35" i="8"/>
  <c r="C33" i="8"/>
  <c r="C35" i="8"/>
  <c r="B33" i="8"/>
  <c r="B35" i="8"/>
  <c r="C35" i="13"/>
  <c r="D35" i="13"/>
  <c r="E35" i="13"/>
  <c r="B35" i="13"/>
  <c r="C33" i="13"/>
  <c r="D33" i="13"/>
  <c r="E33" i="13"/>
  <c r="B33" i="13"/>
  <c r="B20" i="9"/>
  <c r="C20" i="8"/>
  <c r="D20" i="8"/>
  <c r="E20" i="8"/>
  <c r="B20" i="8"/>
  <c r="C20" i="13"/>
  <c r="D20" i="13"/>
  <c r="E20" i="13"/>
  <c r="B20" i="13"/>
  <c r="H30" i="11"/>
  <c r="H32" i="11"/>
  <c r="H34" i="11"/>
  <c r="G27" i="16"/>
  <c r="G26" i="16"/>
  <c r="G25" i="16"/>
  <c r="D43" i="16"/>
  <c r="C43" i="16"/>
  <c r="B43" i="16"/>
  <c r="D42" i="16"/>
  <c r="C42" i="16"/>
  <c r="B42" i="16"/>
  <c r="D41" i="16"/>
  <c r="C41" i="16"/>
  <c r="B41" i="16"/>
  <c r="D40" i="16"/>
  <c r="C40" i="16"/>
  <c r="B40" i="16"/>
  <c r="J34" i="16"/>
  <c r="J30" i="16"/>
  <c r="J35" i="16"/>
  <c r="H34" i="16"/>
  <c r="H30" i="16"/>
  <c r="H35" i="16"/>
  <c r="F34" i="16"/>
  <c r="F30" i="16"/>
  <c r="F35" i="16"/>
  <c r="D34" i="16"/>
  <c r="D30" i="16"/>
  <c r="D35" i="16"/>
  <c r="B34" i="16"/>
  <c r="B30" i="16"/>
  <c r="B35" i="16"/>
  <c r="J32" i="16"/>
  <c r="K33" i="16"/>
  <c r="J33" i="16"/>
  <c r="H32" i="16"/>
  <c r="I33" i="16"/>
  <c r="H33" i="16"/>
  <c r="F32" i="16"/>
  <c r="G33" i="16"/>
  <c r="F33" i="16"/>
  <c r="D32" i="16"/>
  <c r="E33" i="16"/>
  <c r="D33" i="16"/>
  <c r="B32" i="16"/>
  <c r="C33" i="16"/>
  <c r="B33" i="16"/>
  <c r="J31" i="16"/>
  <c r="K31" i="16"/>
  <c r="H31" i="16"/>
  <c r="I31" i="16"/>
  <c r="F31" i="16"/>
  <c r="G31" i="16"/>
  <c r="D31" i="16"/>
  <c r="E31" i="16"/>
  <c r="B31" i="16"/>
  <c r="C31" i="16"/>
  <c r="F27" i="16"/>
  <c r="E27" i="16"/>
  <c r="D27" i="16"/>
  <c r="C27" i="16"/>
  <c r="B27" i="16"/>
  <c r="F26" i="16"/>
  <c r="E26" i="16"/>
  <c r="D26" i="16"/>
  <c r="C26" i="16"/>
  <c r="B26" i="16"/>
  <c r="F25" i="16"/>
  <c r="E25" i="16"/>
  <c r="D25" i="16"/>
  <c r="C25" i="16"/>
  <c r="B25" i="16"/>
  <c r="E26" i="10"/>
  <c r="C26" i="3"/>
  <c r="D26" i="3"/>
  <c r="E26" i="3"/>
  <c r="F26" i="3"/>
  <c r="B26" i="3"/>
  <c r="B5" i="14"/>
  <c r="B30" i="10"/>
  <c r="J29" i="10"/>
  <c r="H29" i="10"/>
  <c r="J35" i="3"/>
  <c r="H35" i="3"/>
  <c r="F35" i="3"/>
  <c r="D35" i="3"/>
  <c r="B35" i="3"/>
  <c r="H13" i="11"/>
  <c r="H9" i="11"/>
  <c r="H11" i="11"/>
  <c r="R4" i="11"/>
  <c r="S4" i="11"/>
  <c r="T4" i="11"/>
  <c r="U4" i="11"/>
  <c r="V4" i="11"/>
  <c r="N4" i="11"/>
  <c r="O4" i="11"/>
  <c r="P4" i="11"/>
  <c r="Q4" i="11"/>
  <c r="M4" i="11"/>
  <c r="L3" i="11"/>
  <c r="E9" i="13"/>
  <c r="G13" i="13"/>
  <c r="E7" i="8"/>
  <c r="E8" i="8"/>
  <c r="E9" i="8"/>
  <c r="E11" i="8"/>
  <c r="E12" i="8"/>
  <c r="E13" i="8"/>
  <c r="E15" i="8"/>
  <c r="E16" i="8"/>
  <c r="E17" i="8"/>
  <c r="E17" i="13"/>
  <c r="D17" i="13"/>
  <c r="C17" i="13"/>
  <c r="B17" i="13"/>
  <c r="E16" i="13"/>
  <c r="D16" i="13"/>
  <c r="C16" i="13"/>
  <c r="B16" i="13"/>
  <c r="E15" i="13"/>
  <c r="D15" i="13"/>
  <c r="C15" i="13"/>
  <c r="B15" i="13"/>
  <c r="E13" i="13"/>
  <c r="D13" i="13"/>
  <c r="C13" i="13"/>
  <c r="B13" i="13"/>
  <c r="E12" i="13"/>
  <c r="D12" i="13"/>
  <c r="C12" i="13"/>
  <c r="B12" i="13"/>
  <c r="E11" i="13"/>
  <c r="D11" i="13"/>
  <c r="C11" i="13"/>
  <c r="B11" i="13"/>
  <c r="D9" i="13"/>
  <c r="C9" i="13"/>
  <c r="B9" i="13"/>
  <c r="E8" i="13"/>
  <c r="D8" i="13"/>
  <c r="C8" i="13"/>
  <c r="B8" i="13"/>
  <c r="E7" i="13"/>
  <c r="D7" i="13"/>
  <c r="C7" i="13"/>
  <c r="B7" i="13"/>
  <c r="D17" i="8"/>
  <c r="C17" i="8"/>
  <c r="B17" i="8"/>
  <c r="D13" i="8"/>
  <c r="C13" i="8"/>
  <c r="B13" i="8"/>
  <c r="D9" i="8"/>
  <c r="B9" i="8"/>
  <c r="C9" i="8"/>
  <c r="D16" i="8"/>
  <c r="C16" i="8"/>
  <c r="B16" i="8"/>
  <c r="D12" i="8"/>
  <c r="C12" i="8"/>
  <c r="B12" i="8"/>
  <c r="D8" i="8"/>
  <c r="B8" i="8"/>
  <c r="C8" i="8"/>
  <c r="E29" i="9"/>
  <c r="E31" i="9"/>
  <c r="E25" i="9"/>
  <c r="E26" i="9"/>
  <c r="E27" i="9"/>
  <c r="E22" i="9"/>
  <c r="E23" i="9"/>
  <c r="E21" i="9"/>
  <c r="B17" i="9"/>
  <c r="B13" i="9"/>
  <c r="B9" i="9"/>
  <c r="B16" i="9"/>
  <c r="B15" i="9"/>
  <c r="B12" i="9"/>
  <c r="B11" i="9"/>
  <c r="B8" i="9"/>
  <c r="B7" i="9"/>
  <c r="D15" i="8"/>
  <c r="C15" i="8"/>
  <c r="B15" i="8"/>
  <c r="D11" i="8"/>
  <c r="C11" i="8"/>
  <c r="B11" i="8"/>
  <c r="C7" i="8"/>
  <c r="D7" i="8"/>
  <c r="B7" i="8"/>
  <c r="E17" i="5"/>
  <c r="D17" i="5"/>
  <c r="C17" i="5"/>
  <c r="B17" i="5"/>
  <c r="E16" i="5"/>
  <c r="D16" i="5"/>
  <c r="C16" i="5"/>
  <c r="B16" i="5"/>
  <c r="E15" i="5"/>
  <c r="D15" i="5"/>
  <c r="C15" i="5"/>
  <c r="B15" i="5"/>
  <c r="E13" i="5"/>
  <c r="D13" i="5"/>
  <c r="C13" i="5"/>
  <c r="B13" i="5"/>
  <c r="E12" i="5"/>
  <c r="D12" i="5"/>
  <c r="C12" i="5"/>
  <c r="B12" i="5"/>
  <c r="E11" i="5"/>
  <c r="D11" i="5"/>
  <c r="C11" i="5"/>
  <c r="B11" i="5"/>
  <c r="C8" i="5"/>
  <c r="D8" i="5"/>
  <c r="E8" i="5"/>
  <c r="B8" i="5"/>
  <c r="C9" i="5"/>
  <c r="D9" i="5"/>
  <c r="E9" i="5"/>
  <c r="B9" i="5"/>
  <c r="C7" i="5"/>
  <c r="D7" i="5"/>
  <c r="E7" i="5"/>
  <c r="B7" i="5"/>
  <c r="B21" i="12"/>
  <c r="B20" i="12"/>
  <c r="B19" i="12"/>
  <c r="D43" i="12"/>
  <c r="C43" i="12"/>
  <c r="B43" i="12"/>
  <c r="D42" i="12"/>
  <c r="C42" i="12"/>
  <c r="B42" i="12"/>
  <c r="D41" i="12"/>
  <c r="C41" i="12"/>
  <c r="B41" i="12"/>
  <c r="D40" i="12"/>
  <c r="C40" i="12"/>
  <c r="B40" i="12"/>
  <c r="J34" i="12"/>
  <c r="H34" i="12"/>
  <c r="F34" i="12"/>
  <c r="D34" i="12"/>
  <c r="B34" i="12"/>
  <c r="J32" i="12"/>
  <c r="K33" i="12"/>
  <c r="J33" i="12"/>
  <c r="H32" i="12"/>
  <c r="I33" i="12"/>
  <c r="H33" i="12"/>
  <c r="F32" i="12"/>
  <c r="G33" i="12"/>
  <c r="F33" i="12"/>
  <c r="D32" i="12"/>
  <c r="E33" i="12"/>
  <c r="D33" i="12"/>
  <c r="B32" i="12"/>
  <c r="C33" i="12"/>
  <c r="B33" i="12"/>
  <c r="J30" i="12"/>
  <c r="J31" i="12"/>
  <c r="K31" i="12"/>
  <c r="H30" i="12"/>
  <c r="H31" i="12"/>
  <c r="I31" i="12"/>
  <c r="F30" i="12"/>
  <c r="F31" i="12"/>
  <c r="G31" i="12"/>
  <c r="D30" i="12"/>
  <c r="D31" i="12"/>
  <c r="E31" i="12"/>
  <c r="B30" i="12"/>
  <c r="B31" i="12"/>
  <c r="C31" i="12"/>
  <c r="F27" i="12"/>
  <c r="E27" i="12"/>
  <c r="D27" i="12"/>
  <c r="C27" i="12"/>
  <c r="B27" i="12"/>
  <c r="F26" i="12"/>
  <c r="E26" i="12"/>
  <c r="D26" i="12"/>
  <c r="C26" i="12"/>
  <c r="B26" i="12"/>
  <c r="F25" i="12"/>
  <c r="E25" i="12"/>
  <c r="D25" i="12"/>
  <c r="C25" i="12"/>
  <c r="B25" i="12"/>
  <c r="G27" i="11"/>
  <c r="G26" i="11"/>
  <c r="G25" i="11"/>
  <c r="D43" i="11"/>
  <c r="D41" i="11"/>
  <c r="D42" i="11"/>
  <c r="D40" i="11"/>
  <c r="C43" i="11"/>
  <c r="C42" i="11"/>
  <c r="C41" i="11"/>
  <c r="C40" i="11"/>
  <c r="M33" i="11"/>
  <c r="L33" i="11"/>
  <c r="L31" i="11"/>
  <c r="M31" i="11"/>
  <c r="L34" i="11"/>
  <c r="L32" i="11"/>
  <c r="L30" i="11"/>
  <c r="B43" i="11"/>
  <c r="B42" i="11"/>
  <c r="B41" i="11"/>
  <c r="B40" i="11"/>
  <c r="J34" i="11"/>
  <c r="F34" i="11"/>
  <c r="D34" i="11"/>
  <c r="B34" i="11"/>
  <c r="J32" i="11"/>
  <c r="K33" i="11"/>
  <c r="J33" i="11"/>
  <c r="I33" i="11"/>
  <c r="H33" i="11"/>
  <c r="F32" i="11"/>
  <c r="G33" i="11"/>
  <c r="F33" i="11"/>
  <c r="D32" i="11"/>
  <c r="E33" i="11"/>
  <c r="D33" i="11"/>
  <c r="B32" i="11"/>
  <c r="C33" i="11"/>
  <c r="B33" i="11"/>
  <c r="J30" i="11"/>
  <c r="J31" i="11"/>
  <c r="K31" i="11"/>
  <c r="H31" i="11"/>
  <c r="I31" i="11"/>
  <c r="F30" i="11"/>
  <c r="F31" i="11"/>
  <c r="G31" i="11"/>
  <c r="D30" i="11"/>
  <c r="D31" i="11"/>
  <c r="E31" i="11"/>
  <c r="B30" i="11"/>
  <c r="B31" i="11"/>
  <c r="C31" i="11"/>
  <c r="F27" i="11"/>
  <c r="E27" i="11"/>
  <c r="D27" i="11"/>
  <c r="C27" i="11"/>
  <c r="B27" i="11"/>
  <c r="F26" i="11"/>
  <c r="E26" i="11"/>
  <c r="D26" i="11"/>
  <c r="C26" i="11"/>
  <c r="B26" i="11"/>
  <c r="F25" i="11"/>
  <c r="E25" i="11"/>
  <c r="D25" i="11"/>
  <c r="C25" i="11"/>
  <c r="B25" i="11"/>
  <c r="D43" i="10"/>
  <c r="C43" i="10"/>
  <c r="B43" i="10"/>
  <c r="D42" i="10"/>
  <c r="C42" i="10"/>
  <c r="B42" i="10"/>
  <c r="D41" i="10"/>
  <c r="C41" i="10"/>
  <c r="B41" i="10"/>
  <c r="D40" i="10"/>
  <c r="C40" i="10"/>
  <c r="B40" i="10"/>
  <c r="J34" i="10"/>
  <c r="H34" i="10"/>
  <c r="F34" i="10"/>
  <c r="D34" i="10"/>
  <c r="B34" i="10"/>
  <c r="J32" i="10"/>
  <c r="K33" i="10"/>
  <c r="J33" i="10"/>
  <c r="H32" i="10"/>
  <c r="I33" i="10"/>
  <c r="H33" i="10"/>
  <c r="F32" i="10"/>
  <c r="G33" i="10"/>
  <c r="F33" i="10"/>
  <c r="D32" i="10"/>
  <c r="E33" i="10"/>
  <c r="D33" i="10"/>
  <c r="B32" i="10"/>
  <c r="C33" i="10"/>
  <c r="B33" i="10"/>
  <c r="J30" i="10"/>
  <c r="J31" i="10"/>
  <c r="K31" i="10"/>
  <c r="H30" i="10"/>
  <c r="H31" i="10"/>
  <c r="I31" i="10"/>
  <c r="F30" i="10"/>
  <c r="F31" i="10"/>
  <c r="G31" i="10"/>
  <c r="D30" i="10"/>
  <c r="D31" i="10"/>
  <c r="E31" i="10"/>
  <c r="B31" i="10"/>
  <c r="C31" i="10"/>
  <c r="F27" i="10"/>
  <c r="E27" i="10"/>
  <c r="D27" i="10"/>
  <c r="C27" i="10"/>
  <c r="B27" i="10"/>
  <c r="F25" i="10"/>
  <c r="E25" i="10"/>
  <c r="D25" i="10"/>
  <c r="C25" i="10"/>
  <c r="B25" i="10"/>
  <c r="B43" i="3"/>
  <c r="B42" i="3"/>
  <c r="D43" i="3"/>
  <c r="J31" i="3"/>
  <c r="D31" i="3"/>
  <c r="K33" i="3"/>
  <c r="J33" i="3"/>
  <c r="I33" i="3"/>
  <c r="H33" i="3"/>
  <c r="G33" i="3"/>
  <c r="F33" i="3"/>
  <c r="E33" i="3"/>
  <c r="D33" i="3"/>
  <c r="C33" i="3"/>
  <c r="B33" i="3"/>
  <c r="B31" i="3"/>
  <c r="H31" i="3"/>
  <c r="F31" i="3"/>
  <c r="K31" i="3"/>
  <c r="I31" i="3"/>
  <c r="G31" i="3"/>
  <c r="E31" i="3"/>
  <c r="C31" i="3"/>
  <c r="B32" i="3"/>
  <c r="D32" i="3"/>
  <c r="F32" i="3"/>
  <c r="H32" i="3"/>
  <c r="J32" i="3"/>
  <c r="B34" i="3"/>
  <c r="D34" i="3"/>
  <c r="F34" i="3"/>
  <c r="H34" i="3"/>
  <c r="J34" i="3"/>
  <c r="D30" i="3"/>
  <c r="F30" i="3"/>
  <c r="H30" i="3"/>
  <c r="J30" i="3"/>
  <c r="B30" i="3"/>
  <c r="D41" i="3"/>
  <c r="D42" i="3"/>
  <c r="D40" i="3"/>
  <c r="C43" i="3"/>
  <c r="C41" i="3"/>
  <c r="C42" i="3"/>
  <c r="C40" i="3"/>
  <c r="B41" i="3"/>
  <c r="B40" i="3"/>
  <c r="B27" i="3"/>
  <c r="C27" i="3"/>
  <c r="D27" i="3"/>
  <c r="E27" i="3"/>
  <c r="F27" i="3"/>
  <c r="C25" i="3"/>
  <c r="D25" i="3"/>
  <c r="E25" i="3"/>
  <c r="F25" i="3"/>
  <c r="B25" i="3"/>
  <c r="B10" i="9"/>
  <c r="B14" i="9"/>
  <c r="B18" i="9"/>
</calcChain>
</file>

<file path=xl/sharedStrings.xml><?xml version="1.0" encoding="utf-8"?>
<sst xmlns="http://schemas.openxmlformats.org/spreadsheetml/2006/main" count="295" uniqueCount="41">
  <si>
    <t>DA</t>
  </si>
  <si>
    <t>BE</t>
  </si>
  <si>
    <t>PCR</t>
  </si>
  <si>
    <t>x</t>
  </si>
  <si>
    <t>ID</t>
  </si>
  <si>
    <t>System Size (MW)</t>
  </si>
  <si>
    <t>Revenue (mUSD)</t>
  </si>
  <si>
    <t>Operating Profit (mUSD)</t>
  </si>
  <si>
    <t>Profit (mUSD)</t>
  </si>
  <si>
    <t>B</t>
  </si>
  <si>
    <t>SCR</t>
  </si>
  <si>
    <t>RegD</t>
  </si>
  <si>
    <t>DA+RT</t>
  </si>
  <si>
    <t>RegA</t>
  </si>
  <si>
    <t>DA+ID</t>
  </si>
  <si>
    <t>DA+ID+SCR</t>
  </si>
  <si>
    <t>DA+ID+SCR+PCR</t>
  </si>
  <si>
    <t>DA+RT+RegD</t>
  </si>
  <si>
    <t>DA+RT+RegA</t>
  </si>
  <si>
    <t>RT</t>
  </si>
  <si>
    <t>Revenue</t>
  </si>
  <si>
    <t>Implicit charging cost</t>
  </si>
  <si>
    <t>Proft</t>
  </si>
  <si>
    <t>kW/MW</t>
  </si>
  <si>
    <t>USD/(a-MW consumption)</t>
  </si>
  <si>
    <t>USD/(a-kW ESS)</t>
  </si>
  <si>
    <t>Operating Profit</t>
  </si>
  <si>
    <t>Proit</t>
  </si>
  <si>
    <t>Operating Cost</t>
  </si>
  <si>
    <t>Fixed Cost</t>
  </si>
  <si>
    <t>Profit</t>
  </si>
  <si>
    <t>max. Revenue</t>
  </si>
  <si>
    <t>max. profitable size</t>
  </si>
  <si>
    <t>max. profit</t>
  </si>
  <si>
    <t>DA+RT+SCR+PCR</t>
  </si>
  <si>
    <t>Profitability ratio</t>
  </si>
  <si>
    <t>PJM</t>
  </si>
  <si>
    <t>DE</t>
  </si>
  <si>
    <t>NSW</t>
  </si>
  <si>
    <t>FCAS</t>
  </si>
  <si>
    <t>System 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</si>
</sst>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 * #,##0.00_ ;_ * \-#,##0.00_ ;_ * &quot;-&quot;??_ ;_ @_ "/>
    <numFmt numFmtId="164" formatCode="0.0"/>
    <numFmt numFmtId="165" formatCode="0.000"/>
    <numFmt numFmtId="166" formatCode="_ * #\ ##0_ ;_ * \-#\ ##0_ ;_ * &quot;-&quot;??_ ;_ @_ "/>
    <numFmt numFmtId="169" formatCode="_ * #,##0.0_ ;_ * \-#,##0.0_ ;_ * &quot;-&quot;??_ ;_ @_ "/>
    <numFmt numFmtId="170" formatCode="_ * #,##0_ ;_ * \-#,##0_ ;_ * &quot;-&quot;??_ ;_ @_ "/>
  </numFmts>
  <fonts count="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7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" fontId="0" fillId="0" borderId="0" xfId="0" applyNumberFormat="1"/>
    <xf numFmtId="165" fontId="0" fillId="0" borderId="0" xfId="0" applyNumberFormat="1"/>
    <xf numFmtId="43" fontId="0" fillId="0" borderId="0" xfId="37" applyFont="1"/>
    <xf numFmtId="166" fontId="0" fillId="0" borderId="0" xfId="37" applyNumberFormat="1" applyFont="1"/>
    <xf numFmtId="2" fontId="0" fillId="0" borderId="0" xfId="0" applyNumberFormat="1"/>
    <xf numFmtId="170" fontId="0" fillId="0" borderId="0" xfId="37" applyNumberFormat="1" applyFont="1"/>
    <xf numFmtId="170" fontId="0" fillId="0" borderId="0" xfId="0" applyNumberFormat="1"/>
    <xf numFmtId="43" fontId="0" fillId="0" borderId="0" xfId="0" applyNumberFormat="1"/>
    <xf numFmtId="169" fontId="0" fillId="0" borderId="0" xfId="0" applyNumberFormat="1"/>
  </cellXfs>
  <cellStyles count="72">
    <cellStyle name="Comma" xfId="37" builtinId="3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microsoft.com/office/2011/relationships/chartStyle" Target="style6.xml"/><Relationship Id="rId2" Type="http://schemas.microsoft.com/office/2011/relationships/chartColorStyle" Target="colors6.xml"/></Relationships>
</file>

<file path=xl/charts/_rels/chart7.xml.rels><?xml version="1.0" encoding="UTF-8" standalone="yes"?>
<Relationships xmlns="http://schemas.openxmlformats.org/package/2006/relationships"><Relationship Id="rId1" Type="http://schemas.microsoft.com/office/2011/relationships/chartStyle" Target="style7.xml"/><Relationship Id="rId2" Type="http://schemas.microsoft.com/office/2011/relationships/chartColorStyle" Target="colors7.xml"/></Relationships>
</file>

<file path=xl/charts/_rels/chart8.xml.rels><?xml version="1.0" encoding="UTF-8" standalone="yes"?>
<Relationships xmlns="http://schemas.openxmlformats.org/package/2006/relationships"><Relationship Id="rId1" Type="http://schemas.microsoft.com/office/2011/relationships/chartStyle" Target="style8.xml"/><Relationship Id="rId2" Type="http://schemas.microsoft.com/office/2011/relationships/chartColorStyle" Target="colors8.xml"/></Relationships>
</file>

<file path=xl/charts/_rels/chart9.xml.rels><?xml version="1.0" encoding="UTF-8" standalone="yes"?>
<Relationships xmlns="http://schemas.openxmlformats.org/package/2006/relationships"><Relationship Id="rId1" Type="http://schemas.microsoft.com/office/2011/relationships/chartStyle" Target="style9.xml"/><Relationship Id="rId2" Type="http://schemas.microsoft.com/office/2011/relationships/chartColorStyle" Target="colors9.xml"/></Relationships>
</file>

<file path=xl/charts/_rels/chart10.xml.rels><?xml version="1.0" encoding="UTF-8" standalone="yes"?>
<Relationships xmlns="http://schemas.openxmlformats.org/package/2006/relationships"><Relationship Id="rId1" Type="http://schemas.microsoft.com/office/2011/relationships/chartStyle" Target="style10.xml"/><Relationship Id="rId2" Type="http://schemas.microsoft.com/office/2011/relationships/chartColorStyle" Target="colors10.xml"/></Relationships>
</file>

<file path=xl/charts/_rels/chart11.xml.rels><?xml version="1.0" encoding="UTF-8" standalone="yes"?>
<Relationships xmlns="http://schemas.openxmlformats.org/package/2006/relationships"><Relationship Id="rId1" Type="http://schemas.microsoft.com/office/2011/relationships/chartStyle" Target="style11.xml"/><Relationship Id="rId2" Type="http://schemas.microsoft.com/office/2011/relationships/chartColorStyle" Target="colors11.xml"/></Relationships>
</file>

<file path=xl/charts/_rels/chart12.xml.rels><?xml version="1.0" encoding="UTF-8" standalone="yes"?>
<Relationships xmlns="http://schemas.openxmlformats.org/package/2006/relationships"><Relationship Id="rId1" Type="http://schemas.microsoft.com/office/2011/relationships/chartStyle" Target="style12.xml"/><Relationship Id="rId2" Type="http://schemas.microsoft.com/office/2011/relationships/chartColorStyle" Target="colors12.xml"/></Relationships>
</file>

<file path=xl/charts/_rels/chart13.xml.rels><?xml version="1.0" encoding="UTF-8" standalone="yes"?>
<Relationships xmlns="http://schemas.openxmlformats.org/package/2006/relationships"><Relationship Id="rId1" Type="http://schemas.microsoft.com/office/2011/relationships/chartStyle" Target="style13.xml"/><Relationship Id="rId2" Type="http://schemas.microsoft.com/office/2011/relationships/chartColorStyle" Target="colors13.xml"/></Relationships>
</file>

<file path=xl/charts/_rels/chart14.xml.rels><?xml version="1.0" encoding="UTF-8" standalone="yes"?>
<Relationships xmlns="http://schemas.openxmlformats.org/package/2006/relationships"><Relationship Id="rId1" Type="http://schemas.microsoft.com/office/2011/relationships/chartStyle" Target="style14.xml"/><Relationship Id="rId2" Type="http://schemas.microsoft.com/office/2011/relationships/chartColorStyle" Target="colors14.xml"/></Relationships>
</file>

<file path=xl/charts/_rels/chart15.xml.rels><?xml version="1.0" encoding="UTF-8" standalone="yes"?>
<Relationships xmlns="http://schemas.openxmlformats.org/package/2006/relationships"><Relationship Id="rId1" Type="http://schemas.microsoft.com/office/2011/relationships/chartStyle" Target="style15.xml"/><Relationship Id="rId2" Type="http://schemas.microsoft.com/office/2011/relationships/chartColorStyle" Target="colors15.xml"/></Relationships>
</file>

<file path=xl/charts/_rels/chart16.xml.rels><?xml version="1.0" encoding="UTF-8" standalone="yes"?>
<Relationships xmlns="http://schemas.openxmlformats.org/package/2006/relationships"><Relationship Id="rId1" Type="http://schemas.microsoft.com/office/2011/relationships/chartStyle" Target="style16.xml"/><Relationship Id="rId2" Type="http://schemas.microsoft.com/office/2011/relationships/chartColorStyle" Target="colors16.xml"/></Relationships>
</file>

<file path=xl/charts/_rels/chart17.xml.rels><?xml version="1.0" encoding="UTF-8" standalone="yes"?>
<Relationships xmlns="http://schemas.openxmlformats.org/package/2006/relationships"><Relationship Id="rId1" Type="http://schemas.microsoft.com/office/2011/relationships/chartStyle" Target="style17.xml"/><Relationship Id="rId2" Type="http://schemas.microsoft.com/office/2011/relationships/chartColorStyle" Target="colors17.xml"/></Relationships>
</file>

<file path=xl/charts/_rels/chart18.xml.rels><?xml version="1.0" encoding="UTF-8" standalone="yes"?>
<Relationships xmlns="http://schemas.openxmlformats.org/package/2006/relationships"><Relationship Id="rId1" Type="http://schemas.microsoft.com/office/2011/relationships/chartStyle" Target="style18.xml"/><Relationship Id="rId2" Type="http://schemas.microsoft.com/office/2011/relationships/chartColorStyle" Target="colors18.xml"/></Relationships>
</file>

<file path=xl/charts/_rels/chart19.xml.rels><?xml version="1.0" encoding="UTF-8" standalone="yes"?>
<Relationships xmlns="http://schemas.openxmlformats.org/package/2006/relationships"><Relationship Id="rId1" Type="http://schemas.microsoft.com/office/2011/relationships/chartStyle" Target="style19.xml"/><Relationship Id="rId2" Type="http://schemas.microsoft.com/office/2011/relationships/chartColorStyle" Target="colors19.xml"/></Relationships>
</file>

<file path=xl/charts/_rels/chart20.xml.rels><?xml version="1.0" encoding="UTF-8" standalone="yes"?>
<Relationships xmlns="http://schemas.openxmlformats.org/package/2006/relationships"><Relationship Id="rId1" Type="http://schemas.microsoft.com/office/2011/relationships/chartStyle" Target="style20.xml"/><Relationship Id="rId2" Type="http://schemas.microsoft.com/office/2011/relationships/chartColorStyle" Target="colors20.xml"/></Relationships>
</file>

<file path=xl/charts/_rels/chart21.xml.rels><?xml version="1.0" encoding="UTF-8" standalone="yes"?>
<Relationships xmlns="http://schemas.openxmlformats.org/package/2006/relationships"><Relationship Id="rId1" Type="http://schemas.microsoft.com/office/2011/relationships/chartStyle" Target="style21.xml"/><Relationship Id="rId2" Type="http://schemas.microsoft.com/office/2011/relationships/chartColorStyle" Target="colors21.xml"/></Relationships>
</file>

<file path=xl/charts/_rels/chart22.xml.rels><?xml version="1.0" encoding="UTF-8" standalone="yes"?>
<Relationships xmlns="http://schemas.openxmlformats.org/package/2006/relationships"><Relationship Id="rId1" Type="http://schemas.microsoft.com/office/2011/relationships/chartStyle" Target="style22.xml"/><Relationship Id="rId2" Type="http://schemas.microsoft.com/office/2011/relationships/chartColorStyle" Target="colors22.xml"/></Relationships>
</file>

<file path=xl/charts/_rels/chart23.xml.rels><?xml version="1.0" encoding="UTF-8" standalone="yes"?>
<Relationships xmlns="http://schemas.openxmlformats.org/package/2006/relationships"><Relationship Id="rId1" Type="http://schemas.microsoft.com/office/2011/relationships/chartStyle" Target="style23.xml"/><Relationship Id="rId2" Type="http://schemas.microsoft.com/office/2011/relationships/chartColorStyle" Target="colors23.xml"/></Relationships>
</file>

<file path=xl/charts/_rels/chart24.xml.rels><?xml version="1.0" encoding="UTF-8" standalone="yes"?>
<Relationships xmlns="http://schemas.openxmlformats.org/package/2006/relationships"><Relationship Id="rId1" Type="http://schemas.microsoft.com/office/2011/relationships/chartStyle" Target="style24.xml"/><Relationship Id="rId2" Type="http://schemas.microsoft.com/office/2011/relationships/chartColorStyle" Target="colors24.xml"/></Relationships>
</file>

<file path=xl/charts/_rels/chart25.xml.rels><?xml version="1.0" encoding="UTF-8" standalone="yes"?>
<Relationships xmlns="http://schemas.openxmlformats.org/package/2006/relationships"><Relationship Id="rId1" Type="http://schemas.microsoft.com/office/2011/relationships/chartStyle" Target="style25.xml"/><Relationship Id="rId2" Type="http://schemas.microsoft.com/office/2011/relationships/chartColorStyle" Target="colors25.xml"/></Relationships>
</file>

<file path=xl/charts/_rels/chart26.xml.rels><?xml version="1.0" encoding="UTF-8" standalone="yes"?>
<Relationships xmlns="http://schemas.openxmlformats.org/package/2006/relationships"><Relationship Id="rId1" Type="http://schemas.microsoft.com/office/2011/relationships/chartStyle" Target="style26.xml"/><Relationship Id="rId2" Type="http://schemas.microsoft.com/office/2011/relationships/chartColorStyle" Target="colors26.xml"/></Relationships>
</file>

<file path=xl/charts/_rels/chart27.xml.rels><?xml version="1.0" encoding="UTF-8" standalone="yes"?>
<Relationships xmlns="http://schemas.openxmlformats.org/package/2006/relationships"><Relationship Id="rId1" Type="http://schemas.microsoft.com/office/2011/relationships/chartStyle" Target="style27.xml"/><Relationship Id="rId2" Type="http://schemas.microsoft.com/office/2011/relationships/chartColorStyle" Target="colors27.xml"/></Relationships>
</file>

<file path=xl/charts/_rels/chart28.xml.rels><?xml version="1.0" encoding="UTF-8" standalone="yes"?>
<Relationships xmlns="http://schemas.openxmlformats.org/package/2006/relationships"><Relationship Id="rId1" Type="http://schemas.microsoft.com/office/2011/relationships/chartStyle" Target="style28.xml"/><Relationship Id="rId2" Type="http://schemas.microsoft.com/office/2011/relationships/chartColorStyle" Target="colors28.xml"/></Relationships>
</file>

<file path=xl/charts/_rels/chart29.xml.rels><?xml version="1.0" encoding="UTF-8" standalone="yes"?>
<Relationships xmlns="http://schemas.openxmlformats.org/package/2006/relationships"><Relationship Id="rId1" Type="http://schemas.microsoft.com/office/2011/relationships/chartStyle" Target="style29.xml"/><Relationship Id="rId2" Type="http://schemas.microsoft.com/office/2011/relationships/chartColorStyle" Target="colors29.xml"/></Relationships>
</file>

<file path=xl/charts/_rels/chart30.xml.rels><?xml version="1.0" encoding="UTF-8" standalone="yes"?>
<Relationships xmlns="http://schemas.openxmlformats.org/package/2006/relationships"><Relationship Id="rId1" Type="http://schemas.microsoft.com/office/2011/relationships/chartStyle" Target="style30.xml"/><Relationship Id="rId2" Type="http://schemas.microsoft.com/office/2011/relationships/chartColorStyle" Target="colors30.xml"/></Relationships>
</file>

<file path=xl/charts/_rels/chart31.xml.rels><?xml version="1.0" encoding="UTF-8" standalone="yes"?>
<Relationships xmlns="http://schemas.openxmlformats.org/package/2006/relationships"><Relationship Id="rId1" Type="http://schemas.microsoft.com/office/2011/relationships/chartStyle" Target="style31.xml"/><Relationship Id="rId2" Type="http://schemas.microsoft.com/office/2011/relationships/chartColorStyle" Target="colors31.xml"/></Relationships>
</file>

<file path=xl/charts/_rels/chart32.xml.rels><?xml version="1.0" encoding="UTF-8" standalone="yes"?>
<Relationships xmlns="http://schemas.openxmlformats.org/package/2006/relationships"><Relationship Id="rId1" Type="http://schemas.microsoft.com/office/2011/relationships/chartStyle" Target="style32.xml"/><Relationship Id="rId2" Type="http://schemas.microsoft.com/office/2011/relationships/chartColorStyle" Target="colors32.xml"/></Relationships>
</file>

<file path=xl/charts/_rels/chart33.xml.rels><?xml version="1.0" encoding="UTF-8" standalone="yes"?>
<Relationships xmlns="http://schemas.openxmlformats.org/package/2006/relationships"><Relationship Id="rId1" Type="http://schemas.microsoft.com/office/2011/relationships/chartStyle" Target="style33.xml"/><Relationship Id="rId2" Type="http://schemas.microsoft.com/office/2011/relationships/chartColorStyle" Target="colors33.xml"/></Relationships>
</file>

<file path=xl/charts/_rels/chart34.xml.rels><?xml version="1.0" encoding="UTF-8" standalone="yes"?>
<Relationships xmlns="http://schemas.openxmlformats.org/package/2006/relationships"><Relationship Id="rId1" Type="http://schemas.microsoft.com/office/2011/relationships/chartStyle" Target="style34.xml"/><Relationship Id="rId2" Type="http://schemas.microsoft.com/office/2011/relationships/chartColorStyle" Target="colors34.xml"/></Relationships>
</file>

<file path=xl/charts/_rels/chart35.xml.rels><?xml version="1.0" encoding="UTF-8" standalone="yes"?>
<Relationships xmlns="http://schemas.openxmlformats.org/package/2006/relationships"><Relationship Id="rId1" Type="http://schemas.microsoft.com/office/2011/relationships/chartStyle" Target="style35.xml"/><Relationship Id="rId2" Type="http://schemas.microsoft.com/office/2011/relationships/chartColorStyle" Target="colors35.xml"/></Relationships>
</file>

<file path=xl/charts/_rels/chart36.xml.rels><?xml version="1.0" encoding="UTF-8" standalone="yes"?>
<Relationships xmlns="http://schemas.openxmlformats.org/package/2006/relationships"><Relationship Id="rId1" Type="http://schemas.microsoft.com/office/2011/relationships/chartStyle" Target="style36.xml"/><Relationship Id="rId2" Type="http://schemas.microsoft.com/office/2011/relationships/chartColorStyle" Target="colors36.xml"/></Relationships>
</file>

<file path=xl/charts/_rels/chart37.xml.rels><?xml version="1.0" encoding="UTF-8" standalone="yes"?>
<Relationships xmlns="http://schemas.openxmlformats.org/package/2006/relationships"><Relationship Id="rId1" Type="http://schemas.microsoft.com/office/2011/relationships/chartStyle" Target="style37.xml"/><Relationship Id="rId2" Type="http://schemas.microsoft.com/office/2011/relationships/chartColorStyle" Target="colors37.xml"/></Relationships>
</file>

<file path=xl/charts/_rels/chart38.xml.rels><?xml version="1.0" encoding="UTF-8" standalone="yes"?>
<Relationships xmlns="http://schemas.openxmlformats.org/package/2006/relationships"><Relationship Id="rId1" Type="http://schemas.microsoft.com/office/2011/relationships/chartStyle" Target="style38.xml"/><Relationship Id="rId2" Type="http://schemas.microsoft.com/office/2011/relationships/chartColorStyle" Target="colors38.xml"/></Relationships>
</file>

<file path=xl/charts/_rels/chart39.xml.rels><?xml version="1.0" encoding="UTF-8" standalone="yes"?>
<Relationships xmlns="http://schemas.openxmlformats.org/package/2006/relationships"><Relationship Id="rId1" Type="http://schemas.microsoft.com/office/2011/relationships/chartStyle" Target="style39.xml"/><Relationship Id="rId2" Type="http://schemas.microsoft.com/office/2011/relationships/chartColorStyle" Target="colors39.xml"/></Relationships>
</file>

<file path=xl/charts/_rels/chart40.xml.rels><?xml version="1.0" encoding="UTF-8" standalone="yes"?>
<Relationships xmlns="http://schemas.openxmlformats.org/package/2006/relationships"><Relationship Id="rId1" Type="http://schemas.microsoft.com/office/2011/relationships/chartStyle" Target="style40.xml"/><Relationship Id="rId2" Type="http://schemas.microsoft.com/office/2011/relationships/chartColorStyle" Target="colors40.xml"/></Relationships>
</file>

<file path=xl/charts/_rels/chart41.xml.rels><?xml version="1.0" encoding="UTF-8" standalone="yes"?>
<Relationships xmlns="http://schemas.openxmlformats.org/package/2006/relationships"><Relationship Id="rId1" Type="http://schemas.microsoft.com/office/2011/relationships/chartStyle" Target="style41.xml"/><Relationship Id="rId2" Type="http://schemas.microsoft.com/office/2011/relationships/chartColorStyle" Target="colors41.xml"/></Relationships>
</file>

<file path=xl/charts/_rels/chart42.xml.rels><?xml version="1.0" encoding="UTF-8" standalone="yes"?>
<Relationships xmlns="http://schemas.openxmlformats.org/package/2006/relationships"><Relationship Id="rId1" Type="http://schemas.microsoft.com/office/2011/relationships/chartStyle" Target="style42.xml"/><Relationship Id="rId2" Type="http://schemas.microsoft.com/office/2011/relationships/chartColorStyle" Target="colors42.xml"/></Relationships>
</file>

<file path=xl/charts/_rels/chart43.xml.rels><?xml version="1.0" encoding="UTF-8" standalone="yes"?>
<Relationships xmlns="http://schemas.openxmlformats.org/package/2006/relationships"><Relationship Id="rId1" Type="http://schemas.microsoft.com/office/2011/relationships/chartStyle" Target="style43.xml"/><Relationship Id="rId2" Type="http://schemas.microsoft.com/office/2011/relationships/chartColorStyle" Target="colors43.xml"/></Relationships>
</file>

<file path=xl/charts/_rels/chart44.xml.rels><?xml version="1.0" encoding="UTF-8" standalone="yes"?>
<Relationships xmlns="http://schemas.openxmlformats.org/package/2006/relationships"><Relationship Id="rId1" Type="http://schemas.microsoft.com/office/2011/relationships/chartStyle" Target="style44.xml"/><Relationship Id="rId2" Type="http://schemas.microsoft.com/office/2011/relationships/chartColorStyle" Target="colors44.xml"/></Relationships>
</file>

<file path=xl/charts/_rels/chart45.xml.rels><?xml version="1.0" encoding="UTF-8" standalone="yes"?>
<Relationships xmlns="http://schemas.openxmlformats.org/package/2006/relationships"><Relationship Id="rId1" Type="http://schemas.microsoft.com/office/2011/relationships/chartStyle" Target="style45.xml"/><Relationship Id="rId2" Type="http://schemas.microsoft.com/office/2011/relationships/chartColorStyle" Target="colors45.xml"/></Relationships>
</file>

<file path=xl/charts/_rels/chart46.xml.rels><?xml version="1.0" encoding="UTF-8" standalone="yes"?>
<Relationships xmlns="http://schemas.openxmlformats.org/package/2006/relationships"><Relationship Id="rId1" Type="http://schemas.microsoft.com/office/2011/relationships/chartStyle" Target="style46.xml"/><Relationship Id="rId2" Type="http://schemas.microsoft.com/office/2011/relationships/chartColorStyle" Target="colors46.xml"/></Relationships>
</file>

<file path=xl/charts/_rels/chart47.xml.rels><?xml version="1.0" encoding="UTF-8" standalone="yes"?>
<Relationships xmlns="http://schemas.openxmlformats.org/package/2006/relationships"><Relationship Id="rId1" Type="http://schemas.microsoft.com/office/2011/relationships/chartStyle" Target="style47.xml"/><Relationship Id="rId2" Type="http://schemas.microsoft.com/office/2011/relationships/chartColorStyle" Target="colors47.xml"/></Relationships>
</file>

<file path=xl/charts/_rels/chart48.xml.rels><?xml version="1.0" encoding="UTF-8" standalone="yes"?>
<Relationships xmlns="http://schemas.openxmlformats.org/package/2006/relationships"><Relationship Id="rId1" Type="http://schemas.microsoft.com/office/2011/relationships/chartStyle" Target="style48.xml"/><Relationship Id="rId2" Type="http://schemas.microsoft.com/office/2011/relationships/chartColorStyle" Target="colors48.xml"/></Relationships>
</file>

<file path=xl/charts/_rels/chart49.xml.rels><?xml version="1.0" encoding="UTF-8" standalone="yes"?>
<Relationships xmlns="http://schemas.openxmlformats.org/package/2006/relationships"><Relationship Id="rId1" Type="http://schemas.microsoft.com/office/2011/relationships/chartStyle" Target="style49.xml"/><Relationship Id="rId2" Type="http://schemas.microsoft.com/office/2011/relationships/chartColorStyle" Target="colors49.xml"/></Relationships>
</file>

<file path=xl/charts/_rels/chart50.xml.rels><?xml version="1.0" encoding="UTF-8" standalone="yes"?>
<Relationships xmlns="http://schemas.openxmlformats.org/package/2006/relationships"><Relationship Id="rId1" Type="http://schemas.microsoft.com/office/2011/relationships/chartStyle" Target="style50.xml"/><Relationship Id="rId2" Type="http://schemas.microsoft.com/office/2011/relationships/chartColorStyle" Target="colors50.xml"/></Relationships>
</file>

<file path=xl/charts/_rels/chart51.xml.rels><?xml version="1.0" encoding="UTF-8" standalone="yes"?>
<Relationships xmlns="http://schemas.openxmlformats.org/package/2006/relationships"><Relationship Id="rId1" Type="http://schemas.microsoft.com/office/2011/relationships/chartStyle" Target="style51.xml"/><Relationship Id="rId2" Type="http://schemas.microsoft.com/office/2011/relationships/chartColorStyle" Target="colors51.xml"/></Relationships>
</file>

<file path=xl/charts/_rels/chart52.xml.rels><?xml version="1.0" encoding="UTF-8" standalone="yes"?>
<Relationships xmlns="http://schemas.openxmlformats.org/package/2006/relationships"><Relationship Id="rId1" Type="http://schemas.microsoft.com/office/2011/relationships/chartStyle" Target="style52.xml"/><Relationship Id="rId2" Type="http://schemas.microsoft.com/office/2011/relationships/chartColorStyle" Target="colors52.xml"/></Relationships>
</file>

<file path=xl/charts/_rels/chart53.xml.rels><?xml version="1.0" encoding="UTF-8" standalone="yes"?>
<Relationships xmlns="http://schemas.openxmlformats.org/package/2006/relationships"><Relationship Id="rId1" Type="http://schemas.microsoft.com/office/2011/relationships/chartStyle" Target="style53.xml"/><Relationship Id="rId2" Type="http://schemas.microsoft.com/office/2011/relationships/chartColorStyle" Target="colors53.xml"/></Relationships>
</file>

<file path=xl/charts/_rels/chart54.xml.rels><?xml version="1.0" encoding="UTF-8" standalone="yes"?>
<Relationships xmlns="http://schemas.openxmlformats.org/package/2006/relationships"><Relationship Id="rId1" Type="http://schemas.microsoft.com/office/2011/relationships/chartStyle" Target="style54.xml"/><Relationship Id="rId2" Type="http://schemas.microsoft.com/office/2011/relationships/chartColorStyle" Target="colors54.xml"/></Relationships>
</file>

<file path=xl/charts/_rels/chart55.xml.rels><?xml version="1.0" encoding="UTF-8" standalone="yes"?>
<Relationships xmlns="http://schemas.openxmlformats.org/package/2006/relationships"><Relationship Id="rId1" Type="http://schemas.microsoft.com/office/2011/relationships/chartStyle" Target="style55.xml"/><Relationship Id="rId2" Type="http://schemas.microsoft.com/office/2011/relationships/chartColorStyle" Target="colors55.xml"/></Relationships>
</file>

<file path=xl/charts/_rels/chart56.xml.rels><?xml version="1.0" encoding="UTF-8" standalone="yes"?>
<Relationships xmlns="http://schemas.openxmlformats.org/package/2006/relationships"><Relationship Id="rId1" Type="http://schemas.microsoft.com/office/2011/relationships/chartStyle" Target="style56.xml"/><Relationship Id="rId2" Type="http://schemas.microsoft.com/office/2011/relationships/chartColorStyle" Target="colors56.xml"/></Relationships>
</file>

<file path=xl/charts/_rels/chart57.xml.rels><?xml version="1.0" encoding="UTF-8" standalone="yes"?>
<Relationships xmlns="http://schemas.openxmlformats.org/package/2006/relationships"><Relationship Id="rId1" Type="http://schemas.microsoft.com/office/2011/relationships/chartStyle" Target="style57.xml"/><Relationship Id="rId2" Type="http://schemas.microsoft.com/office/2011/relationships/chartColorStyle" Target="colors57.xml"/></Relationships>
</file>

<file path=xl/charts/_rels/chart58.xml.rels><?xml version="1.0" encoding="UTF-8" standalone="yes"?>
<Relationships xmlns="http://schemas.openxmlformats.org/package/2006/relationships"><Relationship Id="rId1" Type="http://schemas.microsoft.com/office/2011/relationships/chartStyle" Target="style58.xml"/><Relationship Id="rId2" Type="http://schemas.microsoft.com/office/2011/relationships/chartColorStyle" Target="colors58.xml"/></Relationships>
</file>

<file path=xl/charts/_rels/chart59.xml.rels><?xml version="1.0" encoding="UTF-8" standalone="yes"?>
<Relationships xmlns="http://schemas.openxmlformats.org/package/2006/relationships"><Relationship Id="rId1" Type="http://schemas.microsoft.com/office/2011/relationships/chartStyle" Target="style59.xml"/><Relationship Id="rId2" Type="http://schemas.microsoft.com/office/2011/relationships/chartColorStyle" Target="colors59.xml"/></Relationships>
</file>

<file path=xl/charts/_rels/chart60.xml.rels><?xml version="1.0" encoding="UTF-8" standalone="yes"?>
<Relationships xmlns="http://schemas.openxmlformats.org/package/2006/relationships"><Relationship Id="rId1" Type="http://schemas.microsoft.com/office/2011/relationships/chartStyle" Target="style60.xml"/><Relationship Id="rId2" Type="http://schemas.microsoft.com/office/2011/relationships/chartColorStyle" Target="colors60.xml"/></Relationships>
</file>

<file path=xl/charts/_rels/chart61.xml.rels><?xml version="1.0" encoding="UTF-8" standalone="yes"?>
<Relationships xmlns="http://schemas.openxmlformats.org/package/2006/relationships"><Relationship Id="rId1" Type="http://schemas.microsoft.com/office/2011/relationships/chartStyle" Target="style61.xml"/><Relationship Id="rId2" Type="http://schemas.microsoft.com/office/2011/relationships/chartColorStyle" Target="colors61.xml"/></Relationships>
</file>

<file path=xl/charts/_rels/chart62.xml.rels><?xml version="1.0" encoding="UTF-8" standalone="yes"?>
<Relationships xmlns="http://schemas.openxmlformats.org/package/2006/relationships"><Relationship Id="rId1" Type="http://schemas.microsoft.com/office/2011/relationships/chartStyle" Target="style62.xml"/><Relationship Id="rId2" Type="http://schemas.microsoft.com/office/2011/relationships/chartColorStyle" Target="colors62.xml"/></Relationships>
</file>

<file path=xl/charts/_rels/chart63.xml.rels><?xml version="1.0" encoding="UTF-8" standalone="yes"?>
<Relationships xmlns="http://schemas.openxmlformats.org/package/2006/relationships"><Relationship Id="rId1" Type="http://schemas.microsoft.com/office/2011/relationships/chartStyle" Target="style63.xml"/><Relationship Id="rId2" Type="http://schemas.microsoft.com/office/2011/relationships/chartColorStyle" Target="colors63.xml"/></Relationships>
</file>

<file path=xl/charts/_rels/chart64.xml.rels><?xml version="1.0" encoding="UTF-8" standalone="yes"?>
<Relationships xmlns="http://schemas.openxmlformats.org/package/2006/relationships"><Relationship Id="rId1" Type="http://schemas.microsoft.com/office/2011/relationships/chartStyle" Target="style64.xml"/><Relationship Id="rId2" Type="http://schemas.microsoft.com/office/2011/relationships/chartColorStyle" Target="colors64.xml"/></Relationships>
</file>

<file path=xl/charts/_rels/chart65.xml.rels><?xml version="1.0" encoding="UTF-8" standalone="yes"?>
<Relationships xmlns="http://schemas.openxmlformats.org/package/2006/relationships"><Relationship Id="rId1" Type="http://schemas.microsoft.com/office/2011/relationships/chartStyle" Target="style65.xml"/><Relationship Id="rId2" Type="http://schemas.microsoft.com/office/2011/relationships/chartColorStyle" Target="colors65.xml"/></Relationships>
</file>

<file path=xl/charts/_rels/chart66.xml.rels><?xml version="1.0" encoding="UTF-8" standalone="yes"?>
<Relationships xmlns="http://schemas.openxmlformats.org/package/2006/relationships"><Relationship Id="rId1" Type="http://schemas.microsoft.com/office/2011/relationships/chartStyle" Target="style66.xml"/><Relationship Id="rId2" Type="http://schemas.microsoft.com/office/2011/relationships/chartColorStyle" Target="colors66.xml"/></Relationships>
</file>

<file path=xl/charts/_rels/chart67.xml.rels><?xml version="1.0" encoding="UTF-8" standalone="yes"?>
<Relationships xmlns="http://schemas.openxmlformats.org/package/2006/relationships"><Relationship Id="rId1" Type="http://schemas.microsoft.com/office/2011/relationships/chartStyle" Target="style67.xml"/><Relationship Id="rId2" Type="http://schemas.microsoft.com/office/2011/relationships/chartColorStyle" Target="colors67.xml"/></Relationships>
</file>

<file path=xl/charts/_rels/chart68.xml.rels><?xml version="1.0" encoding="UTF-8" standalone="yes"?>
<Relationships xmlns="http://schemas.openxmlformats.org/package/2006/relationships"><Relationship Id="rId1" Type="http://schemas.microsoft.com/office/2011/relationships/chartStyle" Target="style68.xml"/><Relationship Id="rId2" Type="http://schemas.microsoft.com/office/2011/relationships/chartColorStyle" Target="colors68.xml"/></Relationships>
</file>

<file path=xl/charts/_rels/chart69.xml.rels><?xml version="1.0" encoding="UTF-8" standalone="yes"?>
<Relationships xmlns="http://schemas.openxmlformats.org/package/2006/relationships"><Relationship Id="rId1" Type="http://schemas.microsoft.com/office/2011/relationships/chartStyle" Target="style69.xml"/><Relationship Id="rId2" Type="http://schemas.microsoft.com/office/2011/relationships/chartColorStyle" Target="colors69.xml"/></Relationships>
</file>

<file path=xl/charts/_rels/chart70.xml.rels><?xml version="1.0" encoding="UTF-8" standalone="yes"?>
<Relationships xmlns="http://schemas.openxmlformats.org/package/2006/relationships"><Relationship Id="rId1" Type="http://schemas.microsoft.com/office/2011/relationships/chartStyle" Target="style70.xml"/><Relationship Id="rId2" Type="http://schemas.microsoft.com/office/2011/relationships/chartColorStyle" Target="colors70.xml"/></Relationships>
</file>

<file path=xl/charts/_rels/chart71.xml.rels><?xml version="1.0" encoding="UTF-8" standalone="yes"?>
<Relationships xmlns="http://schemas.openxmlformats.org/package/2006/relationships"><Relationship Id="rId1" Type="http://schemas.microsoft.com/office/2011/relationships/chartStyle" Target="style71.xml"/><Relationship Id="rId2" Type="http://schemas.microsoft.com/office/2011/relationships/chartColorStyle" Target="colors71.xml"/></Relationships>
</file>

<file path=xl/charts/_rels/chart72.xml.rels><?xml version="1.0" encoding="UTF-8" standalone="yes"?>
<Relationships xmlns="http://schemas.openxmlformats.org/package/2006/relationships"><Relationship Id="rId1" Type="http://schemas.microsoft.com/office/2011/relationships/chartStyle" Target="style72.xml"/><Relationship Id="rId2" Type="http://schemas.microsoft.com/office/2011/relationships/chartColorStyle" Target="colors72.xml"/></Relationships>
</file>

<file path=xl/charts/_rels/chart73.xml.rels><?xml version="1.0" encoding="UTF-8" standalone="yes"?>
<Relationships xmlns="http://schemas.openxmlformats.org/package/2006/relationships"><Relationship Id="rId1" Type="http://schemas.microsoft.com/office/2011/relationships/chartStyle" Target="style73.xml"/><Relationship Id="rId2" Type="http://schemas.microsoft.com/office/2011/relationships/chartColorStyle" Target="colors73.xml"/></Relationships>
</file>

<file path=xl/charts/_rels/chart74.xml.rels><?xml version="1.0" encoding="UTF-8" standalone="yes"?>
<Relationships xmlns="http://schemas.openxmlformats.org/package/2006/relationships"><Relationship Id="rId1" Type="http://schemas.microsoft.com/office/2011/relationships/chartStyle" Target="style74.xml"/><Relationship Id="rId2" Type="http://schemas.microsoft.com/office/2011/relationships/chartColorStyle" Target="colors74.xml"/></Relationships>
</file>

<file path=xl/charts/_rels/chart75.xml.rels><?xml version="1.0" encoding="UTF-8" standalone="yes"?>
<Relationships xmlns="http://schemas.openxmlformats.org/package/2006/relationships"><Relationship Id="rId1" Type="http://schemas.microsoft.com/office/2011/relationships/chartStyle" Target="style75.xml"/><Relationship Id="rId2" Type="http://schemas.microsoft.com/office/2011/relationships/chartColorStyle" Target="colors75.xml"/></Relationships>
</file>

<file path=xl/charts/_rels/chart76.xml.rels><?xml version="1.0" encoding="UTF-8" standalone="yes"?>
<Relationships xmlns="http://schemas.openxmlformats.org/package/2006/relationships"><Relationship Id="rId1" Type="http://schemas.microsoft.com/office/2011/relationships/chartStyle" Target="style76.xml"/><Relationship Id="rId2" Type="http://schemas.microsoft.com/office/2011/relationships/chartColorStyle" Target="colors76.xml"/></Relationships>
</file>

<file path=xl/charts/_rels/chart77.xml.rels><?xml version="1.0" encoding="UTF-8" standalone="yes"?>
<Relationships xmlns="http://schemas.openxmlformats.org/package/2006/relationships"><Relationship Id="rId1" Type="http://schemas.microsoft.com/office/2011/relationships/chartStyle" Target="style77.xml"/><Relationship Id="rId2" Type="http://schemas.microsoft.com/office/2011/relationships/chartColorStyle" Target="colors77.xml"/></Relationships>
</file>

<file path=xl/charts/_rels/chart78.xml.rels><?xml version="1.0" encoding="UTF-8" standalone="yes"?>
<Relationships xmlns="http://schemas.openxmlformats.org/package/2006/relationships"><Relationship Id="rId1" Type="http://schemas.microsoft.com/office/2011/relationships/chartStyle" Target="style78.xml"/><Relationship Id="rId2" Type="http://schemas.microsoft.com/office/2011/relationships/chartColorStyle" Target="colors78.xml"/></Relationships>
</file>

<file path=xl/charts/_rels/chart79.xml.rels><?xml version="1.0" encoding="UTF-8" standalone="yes"?>
<Relationships xmlns="http://schemas.openxmlformats.org/package/2006/relationships"><Relationship Id="rId1" Type="http://schemas.microsoft.com/office/2011/relationships/chartStyle" Target="style79.xml"/><Relationship Id="rId2" Type="http://schemas.microsoft.com/office/2011/relationships/chartColorStyle" Target="colors79.xml"/></Relationships>
</file>

<file path=xl/charts/_rels/chart80.xml.rels><?xml version="1.0" encoding="UTF-8" standalone="yes"?>
<Relationships xmlns="http://schemas.openxmlformats.org/package/2006/relationships"><Relationship Id="rId1" Type="http://schemas.microsoft.com/office/2011/relationships/chartStyle" Target="style80.xml"/><Relationship Id="rId2" Type="http://schemas.microsoft.com/office/2011/relationships/chartColorStyle" Target="colors80.xml"/></Relationships>
</file>

<file path=xl/charts/_rels/chart81.xml.rels><?xml version="1.0" encoding="UTF-8" standalone="yes"?>
<Relationships xmlns="http://schemas.openxmlformats.org/package/2006/relationships"><Relationship Id="rId1" Type="http://schemas.microsoft.com/office/2011/relationships/chartStyle" Target="style81.xml"/><Relationship Id="rId2" Type="http://schemas.microsoft.com/office/2011/relationships/chartColorStyle" Target="colors81.xml"/></Relationships>
</file>

<file path=xl/charts/_rels/chart82.xml.rels><?xml version="1.0" encoding="UTF-8" standalone="yes"?>
<Relationships xmlns="http://schemas.openxmlformats.org/package/2006/relationships"><Relationship Id="rId1" Type="http://schemas.microsoft.com/office/2011/relationships/chartStyle" Target="style82.xml"/><Relationship Id="rId2" Type="http://schemas.microsoft.com/office/2011/relationships/chartColorStyle" Target="colors8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Sheet1!$B$3:$D$3</c:f>
              <c:numCache>
                <c:formatCode>General</c:formatCode>
                <c:ptCount val="3"/>
                <c:pt idx="0">
                  <c:v>2608.0</c:v>
                </c:pt>
                <c:pt idx="1">
                  <c:v>4041.0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Sheet1!$B$4:$D$4</c:f>
              <c:numCache>
                <c:formatCode>General</c:formatCode>
                <c:ptCount val="3"/>
                <c:pt idx="1">
                  <c:v>2029.0</c:v>
                </c:pt>
              </c:numCache>
            </c:numRef>
          </c:val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Sheet1!$B$5:$D$5</c:f>
              <c:numCache>
                <c:formatCode>General</c:formatCode>
                <c:ptCount val="3"/>
                <c:pt idx="0">
                  <c:v>3725.0</c:v>
                </c:pt>
                <c:pt idx="2">
                  <c:v>109301.0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966527088"/>
        <c:axId val="1700128704"/>
      </c:barChart>
      <c:catAx>
        <c:axId val="19665270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0128704"/>
        <c:crosses val="autoZero"/>
        <c:auto val="1"/>
        <c:lblAlgn val="ctr"/>
        <c:lblOffset val="100"/>
        <c:noMultiLvlLbl val="0"/>
      </c:catAx>
      <c:valAx>
        <c:axId val="170012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6527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Sheet1!$B$20:$D$20</c:f>
              <c:numCache>
                <c:formatCode>General</c:formatCode>
                <c:ptCount val="3"/>
                <c:pt idx="0">
                  <c:v>0.0</c:v>
                </c:pt>
                <c:pt idx="1">
                  <c:v>1522.0</c:v>
                </c:pt>
                <c:pt idx="2">
                  <c:v>0.0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Sheet1!$B$21:$D$21</c:f>
              <c:numCache>
                <c:formatCode>General</c:formatCode>
                <c:ptCount val="3"/>
                <c:pt idx="0">
                  <c:v>0.0</c:v>
                </c:pt>
                <c:pt idx="1">
                  <c:v>490.0</c:v>
                </c:pt>
                <c:pt idx="2">
                  <c:v>0.0</c:v>
                </c:pt>
              </c:numCache>
            </c:numRef>
          </c:val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Sheet1!$B$22:$D$22</c:f>
              <c:numCache>
                <c:formatCode>General</c:formatCode>
                <c:ptCount val="3"/>
                <c:pt idx="0">
                  <c:v>513.0</c:v>
                </c:pt>
                <c:pt idx="1">
                  <c:v>0.0</c:v>
                </c:pt>
                <c:pt idx="2">
                  <c:v>0.0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Sheet1!$B$23:$D$23</c:f>
              <c:numCache>
                <c:formatCode>General</c:formatCode>
                <c:ptCount val="3"/>
                <c:pt idx="0">
                  <c:v>342.0</c:v>
                </c:pt>
                <c:pt idx="1">
                  <c:v>0.0</c:v>
                </c:pt>
                <c:pt idx="2">
                  <c:v>0.0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Sheet1!$B$24:$D$24</c:f>
              <c:numCache>
                <c:formatCode>General</c:formatCode>
                <c:ptCount val="3"/>
                <c:pt idx="0">
                  <c:v>0.0</c:v>
                </c:pt>
                <c:pt idx="1">
                  <c:v>0.0</c:v>
                </c:pt>
                <c:pt idx="2">
                  <c:v>2933.0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93575600"/>
        <c:axId val="1700199936"/>
      </c:barChart>
      <c:catAx>
        <c:axId val="16935756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0199936"/>
        <c:crosses val="autoZero"/>
        <c:auto val="1"/>
        <c:lblAlgn val="ctr"/>
        <c:lblOffset val="100"/>
        <c:noMultiLvlLbl val="0"/>
      </c:catAx>
      <c:valAx>
        <c:axId val="170019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3575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1417869641295"/>
          <c:y val="0.0261181102362205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Germany_ESS!$A$30:$A$34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Germany_ESS!$J$30:$J$34</c:f>
              <c:numCache>
                <c:formatCode>0</c:formatCode>
                <c:ptCount val="5"/>
                <c:pt idx="0">
                  <c:v>11.4727285314871</c:v>
                </c:pt>
                <c:pt idx="1">
                  <c:v>11.4693292032026</c:v>
                </c:pt>
                <c:pt idx="2">
                  <c:v>11.4693292032026</c:v>
                </c:pt>
                <c:pt idx="3">
                  <c:v>-244.374223632314</c:v>
                </c:pt>
                <c:pt idx="4">
                  <c:v>-244.374223632314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Germany_ESS!$A$30:$A$34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Germany_ESS!$K$30:$K$34</c:f>
              <c:numCache>
                <c:formatCode>0</c:formatCode>
                <c:ptCount val="5"/>
                <c:pt idx="1">
                  <c:v>0.00339932828450173</c:v>
                </c:pt>
                <c:pt idx="3">
                  <c:v>11.4693292032026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698380144"/>
        <c:axId val="1685752640"/>
      </c:barChart>
      <c:catAx>
        <c:axId val="1698380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85752640"/>
        <c:crosses val="autoZero"/>
        <c:auto val="1"/>
        <c:lblAlgn val="ctr"/>
        <c:lblOffset val="100"/>
        <c:noMultiLvlLbl val="0"/>
      </c:catAx>
      <c:valAx>
        <c:axId val="1685752640"/>
        <c:scaling>
          <c:orientation val="minMax"/>
          <c:max val="400.0"/>
          <c:min val="-3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983801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Revenue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Germany_ESS!$B$6:$F$6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BE</c:v>
                </c:pt>
                <c:pt idx="3">
                  <c:v>PCR</c:v>
                </c:pt>
                <c:pt idx="4">
                  <c:v>SCR</c:v>
                </c:pt>
              </c:strCache>
            </c:strRef>
          </c:cat>
          <c:val>
            <c:numRef>
              <c:f>Germany_ESS!$B$25:$F$25</c:f>
              <c:numCache>
                <c:formatCode>_ * #\ ##0_ ;_ * \-#\ ##0_ ;_ * "-"??_ ;_ @_ </c:formatCode>
                <c:ptCount val="5"/>
                <c:pt idx="0">
                  <c:v>4.60769701326766</c:v>
                </c:pt>
                <c:pt idx="1">
                  <c:v>2.31348804013439</c:v>
                </c:pt>
                <c:pt idx="2">
                  <c:v>4.414906343256462</c:v>
                </c:pt>
                <c:pt idx="3">
                  <c:v>1.735116030100793</c:v>
                </c:pt>
                <c:pt idx="4">
                  <c:v>0.559092943032478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5667520"/>
        <c:axId val="1977376560"/>
      </c:barChart>
      <c:barChart>
        <c:barDir val="col"/>
        <c:grouping val="clustered"/>
        <c:varyColors val="0"/>
        <c:ser>
          <c:idx val="1"/>
          <c:order val="1"/>
          <c:tx>
            <c:v>System size</c:v>
          </c:tx>
          <c:spPr>
            <a:solidFill>
              <a:schemeClr val="bg2">
                <a:alpha val="2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Germany_ESS!$B$6:$F$6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BE</c:v>
                </c:pt>
                <c:pt idx="3">
                  <c:v>PCR</c:v>
                </c:pt>
                <c:pt idx="4">
                  <c:v>SCR</c:v>
                </c:pt>
              </c:strCache>
            </c:strRef>
          </c:cat>
          <c:val>
            <c:numRef>
              <c:f>Germany_ESS!$B$26:$F$26</c:f>
              <c:numCache>
                <c:formatCode>_ * #\ ##0_ ;_ * \-#\ ##0_ ;_ * "-"??_ ;_ @_ </c:formatCode>
                <c:ptCount val="5"/>
                <c:pt idx="0">
                  <c:v>1.500007808022135</c:v>
                </c:pt>
                <c:pt idx="1">
                  <c:v>0.500002602674045</c:v>
                </c:pt>
                <c:pt idx="2">
                  <c:v>0.100000520534809</c:v>
                </c:pt>
                <c:pt idx="3">
                  <c:v>0.0149991141268713</c:v>
                </c:pt>
                <c:pt idx="4">
                  <c:v>0.100000520534809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100"/>
        <c:axId val="1685896544"/>
        <c:axId val="1685599440"/>
      </c:barChart>
      <c:catAx>
        <c:axId val="168566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77376560"/>
        <c:crosses val="autoZero"/>
        <c:auto val="1"/>
        <c:lblAlgn val="ctr"/>
        <c:lblOffset val="100"/>
        <c:noMultiLvlLbl val="0"/>
      </c:catAx>
      <c:valAx>
        <c:axId val="1977376560"/>
        <c:scaling>
          <c:orientation val="minMax"/>
          <c:max val="5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Revenue [USD/(a-MP)]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85667520"/>
        <c:crosses val="autoZero"/>
        <c:crossBetween val="between"/>
        <c:majorUnit val="1.0"/>
      </c:valAx>
      <c:valAx>
        <c:axId val="1685599440"/>
        <c:scaling>
          <c:orientation val="minMax"/>
          <c:max val="2.0"/>
          <c:min val="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Size [(kW ESS)/(MP)]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85896544"/>
        <c:crosses val="max"/>
        <c:crossBetween val="between"/>
        <c:majorUnit val="0.4"/>
      </c:valAx>
      <c:catAx>
        <c:axId val="1685896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85599440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t"/>
      <c:layout>
        <c:manualLayout>
          <c:xMode val="edge"/>
          <c:yMode val="edge"/>
          <c:x val="0.623507874015748"/>
          <c:y val="0.0972222222222222"/>
          <c:w val="0.211317366579178"/>
          <c:h val="0.188411708953048"/>
        </c:manualLayout>
      </c:layout>
      <c:overlay val="1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1417869641295"/>
          <c:y val="0.0288958880139982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Germany_ESS!$A$30:$A$34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Germany_ESS!$H$30:$H$34</c:f>
              <c:numCache>
                <c:formatCode>0</c:formatCode>
                <c:ptCount val="5"/>
                <c:pt idx="0">
                  <c:v>153.92734457616</c:v>
                </c:pt>
                <c:pt idx="1">
                  <c:v>153.92734457616</c:v>
                </c:pt>
                <c:pt idx="2">
                  <c:v>153.92734457616</c:v>
                </c:pt>
                <c:pt idx="3">
                  <c:v>-101.916208259356</c:v>
                </c:pt>
                <c:pt idx="4">
                  <c:v>-101.916208259356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Germany_ESS!$A$30:$A$34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Germany_ESS!$I$30:$I$34</c:f>
              <c:numCache>
                <c:formatCode>0</c:formatCode>
                <c:ptCount val="5"/>
                <c:pt idx="1">
                  <c:v>0.0</c:v>
                </c:pt>
                <c:pt idx="3">
                  <c:v>153.92734457616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685482032"/>
        <c:axId val="1660211216"/>
      </c:barChart>
      <c:catAx>
        <c:axId val="1685482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60211216"/>
        <c:crosses val="autoZero"/>
        <c:auto val="1"/>
        <c:lblAlgn val="ctr"/>
        <c:lblOffset val="100"/>
        <c:noMultiLvlLbl val="0"/>
      </c:catAx>
      <c:valAx>
        <c:axId val="1660211216"/>
        <c:scaling>
          <c:orientation val="minMax"/>
          <c:max val="400.0"/>
          <c:min val="-3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8548203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1417869641295"/>
          <c:y val="0.0261181102362205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Germany_ESS!$A$30:$A$34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Germany_ESS!$D$30:$D$34</c:f>
              <c:numCache>
                <c:formatCode>0</c:formatCode>
                <c:ptCount val="5"/>
                <c:pt idx="0">
                  <c:v>17.5126576946667</c:v>
                </c:pt>
                <c:pt idx="1">
                  <c:v>7.68743515994444</c:v>
                </c:pt>
                <c:pt idx="2">
                  <c:v>7.68743515994444</c:v>
                </c:pt>
                <c:pt idx="3">
                  <c:v>-248.156117675572</c:v>
                </c:pt>
                <c:pt idx="4">
                  <c:v>-248.156117675572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Germany_ESS!$A$30:$A$34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Germany_ESS!$E$30:$E$34</c:f>
              <c:numCache>
                <c:formatCode>0</c:formatCode>
                <c:ptCount val="5"/>
                <c:pt idx="1">
                  <c:v>9.82522253472226</c:v>
                </c:pt>
                <c:pt idx="3">
                  <c:v>7.68743515994444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691183696"/>
        <c:axId val="1690937104"/>
      </c:barChart>
      <c:catAx>
        <c:axId val="169118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90937104"/>
        <c:crosses val="autoZero"/>
        <c:auto val="1"/>
        <c:lblAlgn val="ctr"/>
        <c:lblOffset val="100"/>
        <c:noMultiLvlLbl val="0"/>
      </c:catAx>
      <c:valAx>
        <c:axId val="1690937104"/>
        <c:scaling>
          <c:orientation val="minMax"/>
          <c:max val="4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9118369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5629144948431"/>
          <c:y val="0.0175069991251094"/>
          <c:w val="0.551696573139625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Germany_ESS!$A$30:$A$34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Germany_ESS!$B$30:$B$34</c:f>
              <c:numCache>
                <c:formatCode>0</c:formatCode>
                <c:ptCount val="5"/>
                <c:pt idx="0">
                  <c:v>13.2528405386787</c:v>
                </c:pt>
                <c:pt idx="1">
                  <c:v>5.67169484423421</c:v>
                </c:pt>
                <c:pt idx="2">
                  <c:v>5.67169484423421</c:v>
                </c:pt>
                <c:pt idx="3">
                  <c:v>-250.171857991282</c:v>
                </c:pt>
                <c:pt idx="4">
                  <c:v>-250.171857991282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Germany_ESS!$A$30:$A$34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Germany_ESS!$C$30:$C$34</c:f>
              <c:numCache>
                <c:formatCode>0</c:formatCode>
                <c:ptCount val="5"/>
                <c:pt idx="1">
                  <c:v>7.58114569444449</c:v>
                </c:pt>
                <c:pt idx="3">
                  <c:v>5.67169484423421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98690752"/>
        <c:axId val="1966270464"/>
      </c:barChart>
      <c:catAx>
        <c:axId val="1998690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66270464"/>
        <c:crosses val="autoZero"/>
        <c:auto val="1"/>
        <c:lblAlgn val="ctr"/>
        <c:lblOffset val="100"/>
        <c:noMultiLvlLbl val="0"/>
      </c:catAx>
      <c:valAx>
        <c:axId val="1966270464"/>
        <c:scaling>
          <c:orientation val="minMax"/>
          <c:max val="4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 sz="1600"/>
                  <a:t>USD/(yr-kW</a:t>
                </a:r>
                <a:r>
                  <a:rPr lang="en-US" sz="1600" baseline="0"/>
                  <a:t> ESS)</a:t>
                </a:r>
                <a:endParaRPr lang="en-US" sz="1600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9869075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1417869641295"/>
          <c:y val="0.0261181102362205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</c:dPt>
          <c:cat>
            <c:strRef>
              <c:f>Germany_ESS!$A$30:$A$34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Germany_ESS!$F$30:$F$34</c:f>
              <c:numCache>
                <c:formatCode>0</c:formatCode>
                <c:ptCount val="5"/>
                <c:pt idx="0">
                  <c:v>325.686320245466</c:v>
                </c:pt>
                <c:pt idx="1">
                  <c:v>277.158302285157</c:v>
                </c:pt>
                <c:pt idx="2">
                  <c:v>277.158302285157</c:v>
                </c:pt>
                <c:pt idx="3">
                  <c:v>21.3147494496412</c:v>
                </c:pt>
                <c:pt idx="4">
                  <c:v>21.3147494496412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Germany_ESS!$A$30:$A$34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Germany_ESS!$G$30:$G$34</c:f>
              <c:numCache>
                <c:formatCode>0</c:formatCode>
                <c:ptCount val="5"/>
                <c:pt idx="1">
                  <c:v>48.528017960309</c:v>
                </c:pt>
                <c:pt idx="3">
                  <c:v>255.8435528355158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731733312"/>
        <c:axId val="1694475104"/>
      </c:barChart>
      <c:catAx>
        <c:axId val="1731733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94475104"/>
        <c:crosses val="autoZero"/>
        <c:auto val="1"/>
        <c:lblAlgn val="ctr"/>
        <c:lblOffset val="100"/>
        <c:noMultiLvlLbl val="0"/>
      </c:catAx>
      <c:valAx>
        <c:axId val="1694475104"/>
        <c:scaling>
          <c:orientation val="minMax"/>
          <c:max val="400.0"/>
          <c:min val="-3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73173331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364303027695308"/>
          <c:y val="0.0272448235637212"/>
          <c:w val="0.939782005748824"/>
          <c:h val="0.330633566637504"/>
        </c:manualLayout>
      </c:layout>
      <c:barChart>
        <c:barDir val="col"/>
        <c:grouping val="clustered"/>
        <c:varyColors val="0"/>
        <c:ser>
          <c:idx val="0"/>
          <c:order val="0"/>
          <c:tx>
            <c:v>Revenue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val>
            <c:numRef>
              <c:f>Germany_ESS!$F$67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1"/>
          <c:order val="1"/>
          <c:tx>
            <c:v>Operating Cost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Germany_ESS!$G$67</c:f>
              <c:numCache>
                <c:formatCode>General</c:formatCode>
                <c:ptCount val="1"/>
                <c:pt idx="0">
                  <c:v>2.0</c:v>
                </c:pt>
              </c:numCache>
            </c:numRef>
          </c:val>
        </c:ser>
        <c:ser>
          <c:idx val="2"/>
          <c:order val="2"/>
          <c:tx>
            <c:v>Operating Profit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Germany_ESS!$H$67</c:f>
              <c:numCache>
                <c:formatCode>General</c:formatCode>
                <c:ptCount val="1"/>
                <c:pt idx="0">
                  <c:v>3.0</c:v>
                </c:pt>
              </c:numCache>
            </c:numRef>
          </c:val>
        </c:ser>
        <c:ser>
          <c:idx val="3"/>
          <c:order val="3"/>
          <c:tx>
            <c:v>Fixed Cost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Germany_ESS!$I$67</c:f>
              <c:numCache>
                <c:formatCode>General</c:formatCode>
                <c:ptCount val="1"/>
                <c:pt idx="0">
                  <c:v>4.0</c:v>
                </c:pt>
              </c:numCache>
            </c:numRef>
          </c:val>
        </c:ser>
        <c:ser>
          <c:idx val="4"/>
          <c:order val="4"/>
          <c:tx>
            <c:v>Profit (positive)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val>
            <c:numRef>
              <c:f>Germany_ESS!$J$67</c:f>
              <c:numCache>
                <c:formatCode>General</c:formatCode>
                <c:ptCount val="1"/>
                <c:pt idx="0">
                  <c:v>5.0</c:v>
                </c:pt>
              </c:numCache>
            </c:numRef>
          </c:val>
        </c:ser>
        <c:ser>
          <c:idx val="5"/>
          <c:order val="5"/>
          <c:tx>
            <c:v>Profit (negative)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1.0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77017904"/>
        <c:axId val="1802851056"/>
      </c:barChart>
      <c:catAx>
        <c:axId val="197701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851056"/>
        <c:crosses val="autoZero"/>
        <c:auto val="1"/>
        <c:lblAlgn val="ctr"/>
        <c:lblOffset val="100"/>
        <c:noMultiLvlLbl val="0"/>
      </c:catAx>
      <c:valAx>
        <c:axId val="1802851056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701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"/>
          <c:y val="0.858958011310942"/>
          <c:w val="1.0"/>
          <c:h val="0.141041988689058"/>
        </c:manualLayout>
      </c:layout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Revenue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Germany_ESS!$C$39:$D$39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Germany_ESS!$C$40:$D$40</c:f>
              <c:numCache>
                <c:formatCode>0</c:formatCode>
                <c:ptCount val="2"/>
                <c:pt idx="0">
                  <c:v>0.501255742029118</c:v>
                </c:pt>
                <c:pt idx="1">
                  <c:v>0.327744139019039</c:v>
                </c:pt>
              </c:numCache>
            </c:numRef>
          </c:val>
        </c:ser>
        <c:ser>
          <c:idx val="1"/>
          <c:order val="1"/>
          <c:tx>
            <c:v>Operating Profit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Germany_ESS!$C$39:$D$39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Germany_ESS!$C$41:$D$41</c:f>
              <c:numCache>
                <c:formatCode>0</c:formatCode>
                <c:ptCount val="2"/>
                <c:pt idx="0">
                  <c:v>0.404860407023518</c:v>
                </c:pt>
                <c:pt idx="1">
                  <c:v>0.269906938015679</c:v>
                </c:pt>
              </c:numCache>
            </c:numRef>
          </c:val>
        </c:ser>
        <c:ser>
          <c:idx val="2"/>
          <c:order val="2"/>
          <c:tx>
            <c:v>Profit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Germany_ESS!$C$39:$D$39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Germany_ESS!$C$42:$D$42</c:f>
              <c:numCache>
                <c:formatCode>0</c:formatCode>
                <c:ptCount val="2"/>
                <c:pt idx="0">
                  <c:v>0.0</c:v>
                </c:pt>
                <c:pt idx="1">
                  <c:v>0.0192790670011199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5344992"/>
        <c:axId val="1685091904"/>
      </c:barChart>
      <c:barChart>
        <c:barDir val="col"/>
        <c:grouping val="clustered"/>
        <c:varyColors val="0"/>
        <c:ser>
          <c:idx val="3"/>
          <c:order val="3"/>
          <c:tx>
            <c:v>System Size</c:v>
          </c:tx>
          <c:spPr>
            <a:solidFill>
              <a:schemeClr val="accent3">
                <a:alpha val="1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Germany_ESS!$C$39:$D$39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Germany_ESS!$C$43:$D$43</c:f>
              <c:numCache>
                <c:formatCode>0</c:formatCode>
                <c:ptCount val="2"/>
                <c:pt idx="0">
                  <c:v>0.00115674402006719</c:v>
                </c:pt>
                <c:pt idx="1">
                  <c:v>0.00100251148405824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681555056"/>
        <c:axId val="1685091024"/>
      </c:barChart>
      <c:catAx>
        <c:axId val="1685344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85091904"/>
        <c:crosses val="autoZero"/>
        <c:auto val="1"/>
        <c:lblAlgn val="ctr"/>
        <c:lblOffset val="100"/>
        <c:noMultiLvlLbl val="0"/>
      </c:catAx>
      <c:valAx>
        <c:axId val="1685091904"/>
        <c:scaling>
          <c:orientation val="minMax"/>
          <c:max val="6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USD/(a-MW consumption)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85344992"/>
        <c:crosses val="autoZero"/>
        <c:crossBetween val="between"/>
        <c:majorUnit val="200.0"/>
      </c:valAx>
      <c:valAx>
        <c:axId val="1685091024"/>
        <c:scaling>
          <c:orientation val="minMax"/>
          <c:max val="1.2"/>
          <c:min val="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(kW ESS)/(MW consumption)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81555056"/>
        <c:crosses val="max"/>
        <c:crossBetween val="between"/>
        <c:majorUnit val="0.4"/>
      </c:valAx>
      <c:catAx>
        <c:axId val="16815550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8509102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165814523184602"/>
          <c:y val="0.0792366579177602"/>
          <c:w val="0.660037620297463"/>
          <c:h val="0.092059638378536"/>
        </c:manualLayout>
      </c:layout>
      <c:overlay val="1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1417869641295"/>
          <c:y val="0.0288958880139982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Germany_ESS_staking!$A$30:$A$34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Germany_ESS_staking!$H$30:$H$34</c:f>
              <c:numCache>
                <c:formatCode>0</c:formatCode>
                <c:ptCount val="5"/>
                <c:pt idx="0">
                  <c:v>22.4459224925147</c:v>
                </c:pt>
                <c:pt idx="1">
                  <c:v>9.78312895084804</c:v>
                </c:pt>
                <c:pt idx="2">
                  <c:v>9.78312895084804</c:v>
                </c:pt>
                <c:pt idx="3">
                  <c:v>-246.060423884668</c:v>
                </c:pt>
                <c:pt idx="4">
                  <c:v>-246.060423884668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Germany_ESS_staking!$A$30:$A$34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Germany_ESS_staking!$I$30:$I$34</c:f>
              <c:numCache>
                <c:formatCode>0</c:formatCode>
                <c:ptCount val="5"/>
                <c:pt idx="1">
                  <c:v>12.66279354166666</c:v>
                </c:pt>
                <c:pt idx="3">
                  <c:v>9.78312895084804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695373520"/>
        <c:axId val="1695261936"/>
      </c:barChart>
      <c:catAx>
        <c:axId val="1695373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95261936"/>
        <c:crosses val="autoZero"/>
        <c:auto val="1"/>
        <c:lblAlgn val="ctr"/>
        <c:lblOffset val="100"/>
        <c:tickLblSkip val="10"/>
        <c:noMultiLvlLbl val="0"/>
      </c:catAx>
      <c:valAx>
        <c:axId val="1695261936"/>
        <c:scaling>
          <c:orientation val="minMax"/>
          <c:max val="400.0"/>
          <c:min val="-3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9537352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1417869641295"/>
          <c:y val="0.0261181102362205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Germany_ESS_staking!$A$30:$A$34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Germany_ESS_staking!$J$30:$J$34</c:f>
              <c:numCache>
                <c:formatCode>0</c:formatCode>
                <c:ptCount val="5"/>
                <c:pt idx="0">
                  <c:v>54.4872407506953</c:v>
                </c:pt>
                <c:pt idx="1">
                  <c:v>45.7398015144387</c:v>
                </c:pt>
                <c:pt idx="2">
                  <c:v>45.7398015144387</c:v>
                </c:pt>
                <c:pt idx="3">
                  <c:v>-210.103751321077</c:v>
                </c:pt>
                <c:pt idx="4">
                  <c:v>-210.103751321077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Germany_ESS_staking!$A$30:$A$34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Germany_ESS_staking!$K$30:$K$34</c:f>
              <c:numCache>
                <c:formatCode>0</c:formatCode>
                <c:ptCount val="5"/>
                <c:pt idx="1">
                  <c:v>8.747439236256603</c:v>
                </c:pt>
                <c:pt idx="3">
                  <c:v>45.7398015144387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756477184"/>
        <c:axId val="1757009584"/>
      </c:barChart>
      <c:catAx>
        <c:axId val="1756477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757009584"/>
        <c:crosses val="autoZero"/>
        <c:auto val="1"/>
        <c:lblAlgn val="ctr"/>
        <c:lblOffset val="100"/>
        <c:tickLblSkip val="10"/>
        <c:noMultiLvlLbl val="0"/>
      </c:catAx>
      <c:valAx>
        <c:axId val="1757009584"/>
        <c:scaling>
          <c:orientation val="minMax"/>
          <c:max val="400.0"/>
          <c:min val="-3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75647718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5629144948431"/>
          <c:y val="0.0175069991251094"/>
          <c:w val="0.551696573139625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Germany_ESS!$A$30:$A$34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Germany_ESS!$B$30:$B$34</c:f>
              <c:numCache>
                <c:formatCode>0</c:formatCode>
                <c:ptCount val="5"/>
                <c:pt idx="0">
                  <c:v>13.2528405386787</c:v>
                </c:pt>
                <c:pt idx="1">
                  <c:v>5.67169484423421</c:v>
                </c:pt>
                <c:pt idx="2">
                  <c:v>5.67169484423421</c:v>
                </c:pt>
                <c:pt idx="3">
                  <c:v>-250.171857991282</c:v>
                </c:pt>
                <c:pt idx="4">
                  <c:v>-250.171857991282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Germany_ESS!$A$30:$A$34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Germany_ESS!$C$30:$C$34</c:f>
              <c:numCache>
                <c:formatCode>0</c:formatCode>
                <c:ptCount val="5"/>
                <c:pt idx="1">
                  <c:v>7.58114569444449</c:v>
                </c:pt>
                <c:pt idx="3">
                  <c:v>5.67169484423421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653430144"/>
        <c:axId val="1653460400"/>
      </c:barChart>
      <c:catAx>
        <c:axId val="1653430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53460400"/>
        <c:crosses val="autoZero"/>
        <c:auto val="1"/>
        <c:lblAlgn val="ctr"/>
        <c:lblOffset val="100"/>
        <c:noMultiLvlLbl val="0"/>
      </c:catAx>
      <c:valAx>
        <c:axId val="1653460400"/>
        <c:scaling>
          <c:orientation val="minMax"/>
          <c:max val="4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bg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534301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1417869641295"/>
          <c:y val="0.0261181102362205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Germany_ESS!$A$30:$A$34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Germany_ESS!$D$30:$D$34</c:f>
              <c:numCache>
                <c:formatCode>0</c:formatCode>
                <c:ptCount val="5"/>
                <c:pt idx="0">
                  <c:v>17.5126576946667</c:v>
                </c:pt>
                <c:pt idx="1">
                  <c:v>7.68743515994444</c:v>
                </c:pt>
                <c:pt idx="2">
                  <c:v>7.68743515994444</c:v>
                </c:pt>
                <c:pt idx="3">
                  <c:v>-248.156117675572</c:v>
                </c:pt>
                <c:pt idx="4">
                  <c:v>-248.156117675572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Germany_ESS!$A$30:$A$34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Germany_ESS!$E$30:$E$34</c:f>
              <c:numCache>
                <c:formatCode>0</c:formatCode>
                <c:ptCount val="5"/>
                <c:pt idx="1">
                  <c:v>9.82522253472226</c:v>
                </c:pt>
                <c:pt idx="3">
                  <c:v>7.68743515994444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644070464"/>
        <c:axId val="1644078256"/>
      </c:barChart>
      <c:catAx>
        <c:axId val="1644070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44078256"/>
        <c:crosses val="autoZero"/>
        <c:auto val="1"/>
        <c:lblAlgn val="ctr"/>
        <c:lblOffset val="100"/>
        <c:noMultiLvlLbl val="0"/>
      </c:catAx>
      <c:valAx>
        <c:axId val="1644078256"/>
        <c:scaling>
          <c:orientation val="minMax"/>
          <c:max val="4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4407046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1417869641295"/>
          <c:y val="0.0261181102362205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</c:dPt>
          <c:cat>
            <c:strRef>
              <c:f>Germany_ESS!$A$30:$A$34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Germany_ESS!$F$30:$F$34</c:f>
              <c:numCache>
                <c:formatCode>0</c:formatCode>
                <c:ptCount val="5"/>
                <c:pt idx="0">
                  <c:v>325.686320245466</c:v>
                </c:pt>
                <c:pt idx="1">
                  <c:v>277.158302285157</c:v>
                </c:pt>
                <c:pt idx="2">
                  <c:v>277.158302285157</c:v>
                </c:pt>
                <c:pt idx="3">
                  <c:v>21.3147494496412</c:v>
                </c:pt>
                <c:pt idx="4">
                  <c:v>21.3147494496412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Germany_ESS!$A$30:$A$34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Germany_ESS!$G$30:$G$34</c:f>
              <c:numCache>
                <c:formatCode>0</c:formatCode>
                <c:ptCount val="5"/>
                <c:pt idx="1">
                  <c:v>48.528017960309</c:v>
                </c:pt>
                <c:pt idx="3">
                  <c:v>255.8435528355158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695521024"/>
        <c:axId val="1695154976"/>
      </c:barChart>
      <c:catAx>
        <c:axId val="1695521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95154976"/>
        <c:crosses val="autoZero"/>
        <c:auto val="1"/>
        <c:lblAlgn val="ctr"/>
        <c:lblOffset val="100"/>
        <c:noMultiLvlLbl val="0"/>
      </c:catAx>
      <c:valAx>
        <c:axId val="1695154976"/>
        <c:scaling>
          <c:orientation val="minMax"/>
          <c:max val="400.0"/>
          <c:min val="-3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9552102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5629144948431"/>
          <c:y val="0.0175069991251094"/>
          <c:w val="0.571131418431851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PJM_ESS_New!$A$30:$A$34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PJM_ESS_New!$B$30:$B$34</c:f>
              <c:numCache>
                <c:formatCode>0</c:formatCode>
                <c:ptCount val="5"/>
                <c:pt idx="0">
                  <c:v>15.8609134033256</c:v>
                </c:pt>
                <c:pt idx="1">
                  <c:v>5.90011965332556</c:v>
                </c:pt>
                <c:pt idx="2">
                  <c:v>5.90011965332556</c:v>
                </c:pt>
                <c:pt idx="3">
                  <c:v>-249.943433182191</c:v>
                </c:pt>
                <c:pt idx="4">
                  <c:v>-249.943433182191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PJM_ESS_New!$A$30:$A$34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PJM_ESS_New!$C$30:$C$34</c:f>
              <c:numCache>
                <c:formatCode>0</c:formatCode>
                <c:ptCount val="5"/>
                <c:pt idx="1">
                  <c:v>9.96079375000004</c:v>
                </c:pt>
                <c:pt idx="3">
                  <c:v>5.90011965332556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693396656"/>
        <c:axId val="1547618240"/>
      </c:barChart>
      <c:catAx>
        <c:axId val="16933966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1547618240"/>
        <c:crosses val="autoZero"/>
        <c:auto val="1"/>
        <c:lblAlgn val="ctr"/>
        <c:lblOffset val="100"/>
        <c:noMultiLvlLbl val="0"/>
      </c:catAx>
      <c:valAx>
        <c:axId val="1547618240"/>
        <c:scaling>
          <c:orientation val="minMax"/>
          <c:max val="4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 sz="1400"/>
                  <a:t>USD/(yr-kW</a:t>
                </a:r>
                <a:r>
                  <a:rPr lang="en-US" sz="1400" baseline="0"/>
                  <a:t> ESS)</a:t>
                </a:r>
                <a:endParaRPr lang="en-US" sz="1400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9339665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1417869641295"/>
          <c:y val="0.0288958880139982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PJM_ESS_New!$A$30:$A$34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PJM_ESS_New!$H$30:$H$34</c:f>
              <c:numCache>
                <c:formatCode>0</c:formatCode>
                <c:ptCount val="5"/>
                <c:pt idx="0">
                  <c:v>34.3247154369701</c:v>
                </c:pt>
                <c:pt idx="1">
                  <c:v>16.8889477286368</c:v>
                </c:pt>
                <c:pt idx="2">
                  <c:v>16.8889477286368</c:v>
                </c:pt>
                <c:pt idx="3">
                  <c:v>-238.954605106879</c:v>
                </c:pt>
                <c:pt idx="4">
                  <c:v>-238.954605106879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PJM_ESS_New!$A$30:$A$34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PJM_ESS_New!$I$30:$I$34</c:f>
              <c:numCache>
                <c:formatCode>0</c:formatCode>
                <c:ptCount val="5"/>
                <c:pt idx="1">
                  <c:v>17.43576770833329</c:v>
                </c:pt>
                <c:pt idx="3">
                  <c:v>16.8889477286368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595818864"/>
        <c:axId val="1582421728"/>
      </c:barChart>
      <c:catAx>
        <c:axId val="15958188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1582421728"/>
        <c:crosses val="autoZero"/>
        <c:auto val="1"/>
        <c:lblAlgn val="ctr"/>
        <c:lblOffset val="100"/>
        <c:noMultiLvlLbl val="0"/>
      </c:catAx>
      <c:valAx>
        <c:axId val="1582421728"/>
        <c:scaling>
          <c:orientation val="minMax"/>
          <c:max val="400.0"/>
          <c:min val="-3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59581886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364303027695308"/>
          <c:y val="0.0272448235637212"/>
          <c:w val="0.939782005748824"/>
          <c:h val="0.330633566637504"/>
        </c:manualLayout>
      </c:layout>
      <c:barChart>
        <c:barDir val="col"/>
        <c:grouping val="clustered"/>
        <c:varyColors val="0"/>
        <c:ser>
          <c:idx val="0"/>
          <c:order val="0"/>
          <c:tx>
            <c:v>Revenue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val>
            <c:numRef>
              <c:f>Germany_ESS!$F$67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1"/>
          <c:order val="1"/>
          <c:tx>
            <c:v>Operating Cost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Germany_ESS!$G$67</c:f>
              <c:numCache>
                <c:formatCode>General</c:formatCode>
                <c:ptCount val="1"/>
                <c:pt idx="0">
                  <c:v>2.0</c:v>
                </c:pt>
              </c:numCache>
            </c:numRef>
          </c:val>
        </c:ser>
        <c:ser>
          <c:idx val="2"/>
          <c:order val="2"/>
          <c:tx>
            <c:v>Operating Profit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Germany_ESS!$H$67</c:f>
              <c:numCache>
                <c:formatCode>General</c:formatCode>
                <c:ptCount val="1"/>
                <c:pt idx="0">
                  <c:v>3.0</c:v>
                </c:pt>
              </c:numCache>
            </c:numRef>
          </c:val>
        </c:ser>
        <c:ser>
          <c:idx val="3"/>
          <c:order val="3"/>
          <c:tx>
            <c:v>Fixed Cost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Germany_ESS!$I$67</c:f>
              <c:numCache>
                <c:formatCode>General</c:formatCode>
                <c:ptCount val="1"/>
                <c:pt idx="0">
                  <c:v>4.0</c:v>
                </c:pt>
              </c:numCache>
            </c:numRef>
          </c:val>
        </c:ser>
        <c:ser>
          <c:idx val="4"/>
          <c:order val="4"/>
          <c:tx>
            <c:v>Profit (positive)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val>
            <c:numRef>
              <c:f>Germany_ESS!$J$67</c:f>
              <c:numCache>
                <c:formatCode>General</c:formatCode>
                <c:ptCount val="1"/>
                <c:pt idx="0">
                  <c:v>5.0</c:v>
                </c:pt>
              </c:numCache>
            </c:numRef>
          </c:val>
        </c:ser>
        <c:ser>
          <c:idx val="5"/>
          <c:order val="5"/>
          <c:tx>
            <c:v>Profit (negative)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1.0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5863200"/>
        <c:axId val="1600241840"/>
      </c:barChart>
      <c:catAx>
        <c:axId val="1575863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241840"/>
        <c:crosses val="autoZero"/>
        <c:auto val="1"/>
        <c:lblAlgn val="ctr"/>
        <c:lblOffset val="100"/>
        <c:noMultiLvlLbl val="0"/>
      </c:catAx>
      <c:valAx>
        <c:axId val="1600241840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863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"/>
          <c:y val="0.68602687821917"/>
          <c:w val="1.0"/>
          <c:h val="0.268859155763424"/>
        </c:manualLayout>
      </c:layout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073490813648"/>
          <c:y val="0.0175069991251094"/>
          <c:w val="0.738096019247594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NSW_ESS_new!$A$30:$A$34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NSW_ESS_new!$B$30:$B$34</c:f>
              <c:numCache>
                <c:formatCode>0</c:formatCode>
                <c:ptCount val="5"/>
                <c:pt idx="0">
                  <c:v>82.85714285714285</c:v>
                </c:pt>
                <c:pt idx="1">
                  <c:v>56.8452380952381</c:v>
                </c:pt>
                <c:pt idx="2">
                  <c:v>56.8452380952381</c:v>
                </c:pt>
                <c:pt idx="3">
                  <c:v>-199.3154761904762</c:v>
                </c:pt>
                <c:pt idx="4">
                  <c:v>-199.3154761904762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NSW_ESS_new!$A$30:$A$34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NSW_ESS_new!$C$30:$C$34</c:f>
              <c:numCache>
                <c:formatCode>0</c:formatCode>
                <c:ptCount val="5"/>
                <c:pt idx="1">
                  <c:v>26.01190476190474</c:v>
                </c:pt>
                <c:pt idx="3">
                  <c:v>56.8452380952381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751742928"/>
        <c:axId val="1751505024"/>
      </c:barChart>
      <c:catAx>
        <c:axId val="1751742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1751505024"/>
        <c:crosses val="autoZero"/>
        <c:auto val="1"/>
        <c:lblAlgn val="ctr"/>
        <c:lblOffset val="100"/>
        <c:noMultiLvlLbl val="0"/>
      </c:catAx>
      <c:valAx>
        <c:axId val="1751505024"/>
        <c:scaling>
          <c:orientation val="minMax"/>
          <c:max val="200.0"/>
          <c:min val="-3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751742928"/>
        <c:crosses val="autoZero"/>
        <c:crossBetween val="between"/>
        <c:majorUnit val="100.0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r>
              <a:rPr lang="en-US"/>
              <a:t>DA+ID+SCR</a:t>
            </a:r>
          </a:p>
        </c:rich>
      </c:tx>
      <c:layout>
        <c:manualLayout>
          <c:xMode val="edge"/>
          <c:yMode val="edge"/>
          <c:x val="0.258472222222222"/>
          <c:y val="0.944444444444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1417869641295"/>
          <c:y val="0.0261181102362205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Germany_ESS_staking!$A$30:$A$34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Germany_ESS_staking!$J$30:$J$34</c:f>
              <c:numCache>
                <c:formatCode>0</c:formatCode>
                <c:ptCount val="5"/>
                <c:pt idx="0">
                  <c:v>54.4872407506953</c:v>
                </c:pt>
                <c:pt idx="1">
                  <c:v>45.7398015144387</c:v>
                </c:pt>
                <c:pt idx="2">
                  <c:v>45.7398015144387</c:v>
                </c:pt>
                <c:pt idx="3">
                  <c:v>-210.103751321077</c:v>
                </c:pt>
                <c:pt idx="4">
                  <c:v>-210.103751321077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Germany_ESS_staking!$A$30:$A$34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Germany_ESS_staking!$K$30:$K$34</c:f>
              <c:numCache>
                <c:formatCode>0</c:formatCode>
                <c:ptCount val="5"/>
                <c:pt idx="1">
                  <c:v>8.747439236256603</c:v>
                </c:pt>
                <c:pt idx="3">
                  <c:v>45.7398015144387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700215248"/>
        <c:axId val="1998349808"/>
      </c:barChart>
      <c:catAx>
        <c:axId val="17002152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1998349808"/>
        <c:crosses val="autoZero"/>
        <c:auto val="1"/>
        <c:lblAlgn val="ctr"/>
        <c:lblOffset val="100"/>
        <c:noMultiLvlLbl val="0"/>
      </c:catAx>
      <c:valAx>
        <c:axId val="1998349808"/>
        <c:scaling>
          <c:orientation val="minMax"/>
          <c:max val="400.0"/>
          <c:min val="-3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700215248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Germany_ESS_staking!$B$6:$F$6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DA+ID</c:v>
                </c:pt>
                <c:pt idx="3">
                  <c:v>SCR</c:v>
                </c:pt>
                <c:pt idx="4">
                  <c:v>DA+ID+SCR</c:v>
                </c:pt>
              </c:strCache>
            </c:strRef>
          </c:cat>
          <c:val>
            <c:numRef>
              <c:f>Germany_ESS_staking!$B$26:$F$26</c:f>
              <c:numCache>
                <c:formatCode>_ * #\ ##0_ ;_ * \-#\ ##0_ ;_ * "-"??_ ;_ @_ </c:formatCode>
                <c:ptCount val="5"/>
                <c:pt idx="0">
                  <c:v>0.0</c:v>
                </c:pt>
                <c:pt idx="1">
                  <c:v>4.60769701326766</c:v>
                </c:pt>
                <c:pt idx="2">
                  <c:v>0.0</c:v>
                </c:pt>
                <c:pt idx="3">
                  <c:v>7.32604546042557</c:v>
                </c:pt>
                <c:pt idx="4">
                  <c:v>0.0</c:v>
                </c:pt>
              </c:numCache>
            </c:numRef>
          </c:val>
        </c:ser>
        <c:ser>
          <c:idx val="0"/>
          <c:order val="1"/>
          <c:tx>
            <c:v>Revenue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Germany_ESS_staking!$B$6:$F$6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DA+ID</c:v>
                </c:pt>
                <c:pt idx="3">
                  <c:v>SCR</c:v>
                </c:pt>
                <c:pt idx="4">
                  <c:v>DA+ID+SCR</c:v>
                </c:pt>
              </c:strCache>
            </c:strRef>
          </c:cat>
          <c:val>
            <c:numRef>
              <c:f>Germany_ESS_staking!$B$25:$F$25</c:f>
              <c:numCache>
                <c:formatCode>_ * #\ ##0_ ;_ * \-#\ ##0_ ;_ * "-"??_ ;_ @_ </c:formatCode>
                <c:ptCount val="5"/>
                <c:pt idx="0">
                  <c:v>4.60769701326766</c:v>
                </c:pt>
                <c:pt idx="1">
                  <c:v>2.31348804013439</c:v>
                </c:pt>
                <c:pt idx="2">
                  <c:v>7.32604546042557</c:v>
                </c:pt>
                <c:pt idx="3">
                  <c:v>0.559092943032478</c:v>
                </c:pt>
                <c:pt idx="4">
                  <c:v>9.947998572577879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973255008"/>
        <c:axId val="1731285216"/>
      </c:barChart>
      <c:catAx>
        <c:axId val="1973255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731285216"/>
        <c:crosses val="autoZero"/>
        <c:auto val="1"/>
        <c:lblAlgn val="ctr"/>
        <c:lblOffset val="100"/>
        <c:noMultiLvlLbl val="0"/>
      </c:catAx>
      <c:valAx>
        <c:axId val="17312852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Revenue [USD/(a-MP)]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73255008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r>
              <a:rPr lang="en-US"/>
              <a:t>DA+ID</a:t>
            </a:r>
          </a:p>
        </c:rich>
      </c:tx>
      <c:layout>
        <c:manualLayout>
          <c:xMode val="edge"/>
          <c:yMode val="edge"/>
          <c:x val="0.376527777777778"/>
          <c:y val="0.944444444444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1417869641295"/>
          <c:y val="0.0288958880139982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Germany_ESS_staking!$A$30:$A$34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Germany_ESS_staking!$H$30:$H$34</c:f>
              <c:numCache>
                <c:formatCode>0</c:formatCode>
                <c:ptCount val="5"/>
                <c:pt idx="0">
                  <c:v>22.4459224925147</c:v>
                </c:pt>
                <c:pt idx="1">
                  <c:v>9.78312895084804</c:v>
                </c:pt>
                <c:pt idx="2">
                  <c:v>9.78312895084804</c:v>
                </c:pt>
                <c:pt idx="3">
                  <c:v>-246.060423884668</c:v>
                </c:pt>
                <c:pt idx="4">
                  <c:v>-246.060423884668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Germany_ESS_staking!$A$30:$A$34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Germany_ESS_staking!$I$30:$I$34</c:f>
              <c:numCache>
                <c:formatCode>0</c:formatCode>
                <c:ptCount val="5"/>
                <c:pt idx="1">
                  <c:v>12.66279354166666</c:v>
                </c:pt>
                <c:pt idx="3">
                  <c:v>9.78312895084804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574660432"/>
        <c:axId val="1860738704"/>
      </c:barChart>
      <c:catAx>
        <c:axId val="15746604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1860738704"/>
        <c:crosses val="autoZero"/>
        <c:auto val="1"/>
        <c:lblAlgn val="ctr"/>
        <c:lblOffset val="100"/>
        <c:noMultiLvlLbl val="0"/>
      </c:catAx>
      <c:valAx>
        <c:axId val="1860738704"/>
        <c:scaling>
          <c:orientation val="minMax"/>
          <c:max val="400.0"/>
          <c:min val="-3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57466043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r>
              <a:rPr lang="en-US"/>
              <a:t>ID</a:t>
            </a:r>
          </a:p>
        </c:rich>
      </c:tx>
      <c:layout>
        <c:manualLayout>
          <c:xMode val="edge"/>
          <c:yMode val="edge"/>
          <c:x val="0.430555555555556"/>
          <c:y val="0.944444444444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1417869641295"/>
          <c:y val="0.0261181102362205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Germany_ESS_staking!$A$30:$A$34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Germany_ESS_staking!$D$30:$D$34</c:f>
              <c:numCache>
                <c:formatCode>0</c:formatCode>
                <c:ptCount val="5"/>
                <c:pt idx="0">
                  <c:v>17.5126576946667</c:v>
                </c:pt>
                <c:pt idx="1">
                  <c:v>7.68743515994444</c:v>
                </c:pt>
                <c:pt idx="2">
                  <c:v>7.68743515994444</c:v>
                </c:pt>
                <c:pt idx="3">
                  <c:v>-248.156117675572</c:v>
                </c:pt>
                <c:pt idx="4">
                  <c:v>-248.156117675572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Germany_ESS_staking!$A$30:$A$34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Germany_ESS_staking!$E$30:$E$34</c:f>
              <c:numCache>
                <c:formatCode>0</c:formatCode>
                <c:ptCount val="5"/>
                <c:pt idx="1">
                  <c:v>9.82522253472226</c:v>
                </c:pt>
                <c:pt idx="3">
                  <c:v>7.68743515994444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699286304"/>
        <c:axId val="1699345216"/>
      </c:barChart>
      <c:catAx>
        <c:axId val="16992863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1699345216"/>
        <c:crosses val="autoZero"/>
        <c:auto val="1"/>
        <c:lblAlgn val="ctr"/>
        <c:lblOffset val="100"/>
        <c:noMultiLvlLbl val="0"/>
      </c:catAx>
      <c:valAx>
        <c:axId val="1699345216"/>
        <c:scaling>
          <c:orientation val="minMax"/>
          <c:max val="4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9928630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r>
              <a:rPr lang="en-US"/>
              <a:t>DA</a:t>
            </a:r>
          </a:p>
        </c:rich>
      </c:tx>
      <c:layout>
        <c:manualLayout>
          <c:xMode val="edge"/>
          <c:yMode val="edge"/>
          <c:x val="0.540985693689697"/>
          <c:y val="0.944444444444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55629144948431"/>
          <c:y val="0.0175069991251094"/>
          <c:w val="0.571131418431851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Germany_ESS_staking!$A$30:$A$34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Germany_ESS_staking!$B$30:$B$34</c:f>
              <c:numCache>
                <c:formatCode>0</c:formatCode>
                <c:ptCount val="5"/>
                <c:pt idx="0">
                  <c:v>13.2528405386787</c:v>
                </c:pt>
                <c:pt idx="1">
                  <c:v>5.67169484423421</c:v>
                </c:pt>
                <c:pt idx="2">
                  <c:v>5.67169484423421</c:v>
                </c:pt>
                <c:pt idx="3">
                  <c:v>-250.171857991282</c:v>
                </c:pt>
                <c:pt idx="4">
                  <c:v>-250.171857991282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Germany_ESS_staking!$A$30:$A$34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Germany_ESS_staking!$C$30:$C$34</c:f>
              <c:numCache>
                <c:formatCode>0</c:formatCode>
                <c:ptCount val="5"/>
                <c:pt idx="1">
                  <c:v>7.58114569444449</c:v>
                </c:pt>
                <c:pt idx="3">
                  <c:v>5.67169484423421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862229392"/>
        <c:axId val="1802806176"/>
      </c:barChart>
      <c:catAx>
        <c:axId val="18622293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1802806176"/>
        <c:crosses val="autoZero"/>
        <c:auto val="1"/>
        <c:lblAlgn val="ctr"/>
        <c:lblOffset val="100"/>
        <c:noMultiLvlLbl val="0"/>
      </c:catAx>
      <c:valAx>
        <c:axId val="1802806176"/>
        <c:scaling>
          <c:orientation val="minMax"/>
          <c:max val="4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 sz="1400"/>
                  <a:t>USD/(a-kW</a:t>
                </a:r>
                <a:r>
                  <a:rPr lang="en-US" sz="1400" baseline="0"/>
                  <a:t> ESS)</a:t>
                </a:r>
                <a:endParaRPr lang="en-US" sz="1400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86222939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r>
              <a:rPr lang="en-US"/>
              <a:t>SCR</a:t>
            </a:r>
          </a:p>
        </c:rich>
      </c:tx>
      <c:layout>
        <c:manualLayout>
          <c:xMode val="edge"/>
          <c:yMode val="edge"/>
          <c:x val="0.414305555555556"/>
          <c:y val="0.944444444444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1417869641295"/>
          <c:y val="0.0261181102362205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Germany_ESS_staking!$A$30:$A$34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Germany_ESS_staking!$F$30:$F$34</c:f>
              <c:numCache>
                <c:formatCode>0</c:formatCode>
                <c:ptCount val="5"/>
                <c:pt idx="0">
                  <c:v>11.4727285314871</c:v>
                </c:pt>
                <c:pt idx="1">
                  <c:v>11.4693292032026</c:v>
                </c:pt>
                <c:pt idx="2">
                  <c:v>11.4693292032026</c:v>
                </c:pt>
                <c:pt idx="3">
                  <c:v>-244.374223632314</c:v>
                </c:pt>
                <c:pt idx="4">
                  <c:v>-244.374223632314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Germany_ESS_staking!$A$30:$A$34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Germany_ESS_staking!$G$30:$G$34</c:f>
              <c:numCache>
                <c:formatCode>0</c:formatCode>
                <c:ptCount val="5"/>
                <c:pt idx="1">
                  <c:v>0.00339932828450173</c:v>
                </c:pt>
                <c:pt idx="3">
                  <c:v>11.4693292032026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681641552"/>
        <c:axId val="1681138176"/>
      </c:barChart>
      <c:catAx>
        <c:axId val="16816415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1681138176"/>
        <c:crosses val="autoZero"/>
        <c:auto val="1"/>
        <c:lblAlgn val="ctr"/>
        <c:lblOffset val="100"/>
        <c:noMultiLvlLbl val="0"/>
      </c:catAx>
      <c:valAx>
        <c:axId val="1681138176"/>
        <c:scaling>
          <c:orientation val="minMax"/>
          <c:max val="400.0"/>
          <c:min val="-3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8164155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364303027695308"/>
          <c:y val="0.0272448235637212"/>
          <c:w val="0.939782005748824"/>
          <c:h val="0.330633566637504"/>
        </c:manualLayout>
      </c:layout>
      <c:barChart>
        <c:barDir val="col"/>
        <c:grouping val="clustered"/>
        <c:varyColors val="0"/>
        <c:ser>
          <c:idx val="0"/>
          <c:order val="0"/>
          <c:tx>
            <c:v>Revenue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val>
            <c:numRef>
              <c:f>Germany_ESS_staking!$F$67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1"/>
          <c:order val="1"/>
          <c:tx>
            <c:v>Operating Cost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Germany_ESS_staking!$G$67</c:f>
              <c:numCache>
                <c:formatCode>General</c:formatCode>
                <c:ptCount val="1"/>
                <c:pt idx="0">
                  <c:v>2.0</c:v>
                </c:pt>
              </c:numCache>
            </c:numRef>
          </c:val>
        </c:ser>
        <c:ser>
          <c:idx val="2"/>
          <c:order val="2"/>
          <c:tx>
            <c:v>Operating Profit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Germany_ESS_staking!$H$67</c:f>
              <c:numCache>
                <c:formatCode>General</c:formatCode>
                <c:ptCount val="1"/>
                <c:pt idx="0">
                  <c:v>3.0</c:v>
                </c:pt>
              </c:numCache>
            </c:numRef>
          </c:val>
        </c:ser>
        <c:ser>
          <c:idx val="3"/>
          <c:order val="3"/>
          <c:tx>
            <c:v>Fixed Cost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Germany_ESS_staking!$I$67</c:f>
              <c:numCache>
                <c:formatCode>General</c:formatCode>
                <c:ptCount val="1"/>
                <c:pt idx="0">
                  <c:v>4.0</c:v>
                </c:pt>
              </c:numCache>
            </c:numRef>
          </c:val>
        </c:ser>
        <c:ser>
          <c:idx val="4"/>
          <c:order val="4"/>
          <c:tx>
            <c:v>Profit (positive)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val>
            <c:numRef>
              <c:f>Germany_ESS_staking!$J$67</c:f>
              <c:numCache>
                <c:formatCode>General</c:formatCode>
                <c:ptCount val="1"/>
                <c:pt idx="0">
                  <c:v>5.0</c:v>
                </c:pt>
              </c:numCache>
            </c:numRef>
          </c:val>
        </c:ser>
        <c:ser>
          <c:idx val="5"/>
          <c:order val="5"/>
          <c:tx>
            <c:v>Profit (negative)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1.0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44827536"/>
        <c:axId val="1687806320"/>
      </c:barChart>
      <c:catAx>
        <c:axId val="204482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806320"/>
        <c:crosses val="autoZero"/>
        <c:auto val="1"/>
        <c:lblAlgn val="ctr"/>
        <c:lblOffset val="100"/>
        <c:noMultiLvlLbl val="0"/>
      </c:catAx>
      <c:valAx>
        <c:axId val="1687806320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482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"/>
          <c:y val="0.886671770195392"/>
          <c:w val="1.0"/>
          <c:h val="0.113328229804608"/>
        </c:manualLayout>
      </c:layout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Revenue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Germany_ESS_staking!$C$39:$D$39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Germany_ESS_staking!$C$40:$D$40</c:f>
              <c:numCache>
                <c:formatCode>0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1"/>
          <c:order val="1"/>
          <c:tx>
            <c:v>Operating Profit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Germany_ESS_staking!$C$39:$D$39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Germany_ESS_staking!$C$41:$D$41</c:f>
              <c:numCache>
                <c:formatCode>0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2"/>
          <c:order val="2"/>
          <c:tx>
            <c:v>Profit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Germany_ESS_staking!$C$39:$D$39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Germany_ESS_staking!$C$42:$D$42</c:f>
              <c:numCache>
                <c:formatCode>0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0292112"/>
        <c:axId val="1949583232"/>
      </c:barChart>
      <c:barChart>
        <c:barDir val="col"/>
        <c:grouping val="clustered"/>
        <c:varyColors val="0"/>
        <c:ser>
          <c:idx val="3"/>
          <c:order val="3"/>
          <c:tx>
            <c:v>System Size</c:v>
          </c:tx>
          <c:spPr>
            <a:solidFill>
              <a:schemeClr val="accent3">
                <a:alpha val="1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Germany_ESS_staking!$C$39:$D$39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Germany_ESS_staking!$C$43:$D$43</c:f>
              <c:numCache>
                <c:formatCode>0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732256128"/>
        <c:axId val="1701389216"/>
      </c:barChart>
      <c:catAx>
        <c:axId val="195029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49583232"/>
        <c:crosses val="autoZero"/>
        <c:auto val="1"/>
        <c:lblAlgn val="ctr"/>
        <c:lblOffset val="100"/>
        <c:noMultiLvlLbl val="0"/>
      </c:catAx>
      <c:valAx>
        <c:axId val="1949583232"/>
        <c:scaling>
          <c:orientation val="minMax"/>
          <c:max val="6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USD/(a-MW consumption)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50292112"/>
        <c:crosses val="autoZero"/>
        <c:crossBetween val="between"/>
        <c:majorUnit val="200.0"/>
      </c:valAx>
      <c:valAx>
        <c:axId val="1701389216"/>
        <c:scaling>
          <c:orientation val="minMax"/>
          <c:max val="1.2"/>
          <c:min val="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(kW ESS)/(MW consumption)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732256128"/>
        <c:crosses val="max"/>
        <c:crossBetween val="between"/>
        <c:majorUnit val="0.4"/>
      </c:valAx>
      <c:catAx>
        <c:axId val="17322561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0138921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165814523184602"/>
          <c:y val="0.0792366579177602"/>
          <c:w val="0.660037620297463"/>
          <c:h val="0.092059638378536"/>
        </c:manualLayout>
      </c:layout>
      <c:overlay val="1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Germany_ESS_multitasking!$A$7</c:f>
              <c:strCache>
                <c:ptCount val="1"/>
                <c:pt idx="0">
                  <c:v>Revenue (mUSD)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Germany_ESS_multitasking!$B$7:$I$7</c:f>
              <c:numCache>
                <c:formatCode>General</c:formatCode>
                <c:ptCount val="8"/>
                <c:pt idx="0">
                  <c:v>239.0</c:v>
                </c:pt>
                <c:pt idx="1">
                  <c:v>120.0</c:v>
                </c:pt>
                <c:pt idx="2">
                  <c:v>29.0</c:v>
                </c:pt>
                <c:pt idx="3">
                  <c:v>380.0</c:v>
                </c:pt>
                <c:pt idx="4">
                  <c:v>516.0</c:v>
                </c:pt>
              </c:numCache>
            </c:numRef>
          </c:val>
        </c:ser>
        <c:ser>
          <c:idx val="1"/>
          <c:order val="2"/>
          <c:tx>
            <c:strRef>
              <c:f>Germany_ESS_multitasking!$A$8</c:f>
              <c:strCache>
                <c:ptCount val="1"/>
                <c:pt idx="0">
                  <c:v>Operating Profit (mUSD)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Germany_ESS_multitasking!$B$8:$I$8</c:f>
              <c:numCache>
                <c:formatCode>General</c:formatCode>
                <c:ptCount val="8"/>
                <c:pt idx="0">
                  <c:v>99.0</c:v>
                </c:pt>
                <c:pt idx="1">
                  <c:v>50.0</c:v>
                </c:pt>
                <c:pt idx="2">
                  <c:v>29.0</c:v>
                </c:pt>
                <c:pt idx="3">
                  <c:v>157.0</c:v>
                </c:pt>
                <c:pt idx="4">
                  <c:v>295.0</c:v>
                </c:pt>
              </c:numCache>
            </c:numRef>
          </c:val>
        </c:ser>
        <c:ser>
          <c:idx val="2"/>
          <c:order val="3"/>
          <c:tx>
            <c:strRef>
              <c:f>Germany_ESS_multitasking!$A$9</c:f>
              <c:strCache>
                <c:ptCount val="1"/>
                <c:pt idx="0">
                  <c:v>Profit (mUSD)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Germany_ESS_multitasking!$B$9:$I$9</c:f>
              <c:numCache>
                <c:formatCode>General</c:formatCode>
                <c:ptCount val="8"/>
                <c:pt idx="0">
                  <c:v>-19807.0</c:v>
                </c:pt>
                <c:pt idx="1">
                  <c:v>-6585.0</c:v>
                </c:pt>
                <c:pt idx="2">
                  <c:v>-1298.0</c:v>
                </c:pt>
                <c:pt idx="3">
                  <c:v>-33019.0</c:v>
                </c:pt>
                <c:pt idx="4">
                  <c:v>-26246.0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97819680"/>
        <c:axId val="1694347216"/>
      </c:barChart>
      <c:barChart>
        <c:barDir val="col"/>
        <c:grouping val="clustered"/>
        <c:varyColors val="0"/>
        <c:ser>
          <c:idx val="3"/>
          <c:order val="0"/>
          <c:tx>
            <c:strRef>
              <c:f>Germany_ESS_multitasking!$A$10</c:f>
              <c:strCache>
                <c:ptCount val="1"/>
                <c:pt idx="0">
                  <c:v>System Size (MW)</c:v>
                </c:pt>
              </c:strCache>
            </c:strRef>
          </c:tx>
          <c:spPr>
            <a:solidFill>
              <a:schemeClr val="tx2">
                <a:alpha val="15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Germany_ESS_multitasking!$B$10:$I$10</c:f>
              <c:numCache>
                <c:formatCode>General</c:formatCode>
                <c:ptCount val="8"/>
                <c:pt idx="0">
                  <c:v>77805.0</c:v>
                </c:pt>
                <c:pt idx="1">
                  <c:v>25935.0</c:v>
                </c:pt>
                <c:pt idx="2">
                  <c:v>5187.0</c:v>
                </c:pt>
                <c:pt idx="3">
                  <c:v>129674.0</c:v>
                </c:pt>
                <c:pt idx="4">
                  <c:v>103739.0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026651296"/>
        <c:axId val="2026463424"/>
      </c:barChart>
      <c:catAx>
        <c:axId val="1997819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694347216"/>
        <c:crosses val="autoZero"/>
        <c:auto val="1"/>
        <c:lblAlgn val="ctr"/>
        <c:lblOffset val="100"/>
        <c:noMultiLvlLbl val="0"/>
      </c:catAx>
      <c:valAx>
        <c:axId val="1694347216"/>
        <c:scaling>
          <c:orientation val="minMax"/>
          <c:max val="800.0"/>
          <c:min val="-200.0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7819680"/>
        <c:crosses val="autoZero"/>
        <c:crossBetween val="between"/>
      </c:valAx>
      <c:valAx>
        <c:axId val="2026463424"/>
        <c:scaling>
          <c:orientation val="minMax"/>
          <c:max val="160000.0"/>
          <c:min val="-40000.0"/>
        </c:scaling>
        <c:delete val="0"/>
        <c:axPos val="r"/>
        <c:numFmt formatCode="General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6651296"/>
        <c:crosses val="max"/>
        <c:crossBetween val="between"/>
      </c:valAx>
      <c:catAx>
        <c:axId val="2026651296"/>
        <c:scaling>
          <c:orientation val="minMax"/>
        </c:scaling>
        <c:delete val="1"/>
        <c:axPos val="b"/>
        <c:majorTickMark val="out"/>
        <c:minorTickMark val="none"/>
        <c:tickLblPos val="nextTo"/>
        <c:crossAx val="202646342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0"/>
                  <c:y val="-0.0694444444444445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8.48755627201341E-17"/>
                  <c:y val="0.0277777777777778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Germany_ESS_multitasking!$B$6:$F$6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  <c:pt idx="3">
                  <c:v>DA+ID</c:v>
                </c:pt>
                <c:pt idx="4">
                  <c:v>DA+ID+SCR</c:v>
                </c:pt>
              </c:strCache>
            </c:strRef>
          </c:cat>
          <c:val>
            <c:numRef>
              <c:f>Germany_ESS_multitasking!$B$7:$F$7</c:f>
              <c:numCache>
                <c:formatCode>General</c:formatCode>
                <c:ptCount val="5"/>
                <c:pt idx="0">
                  <c:v>239.0</c:v>
                </c:pt>
                <c:pt idx="1">
                  <c:v>120.0</c:v>
                </c:pt>
                <c:pt idx="2">
                  <c:v>29.0</c:v>
                </c:pt>
                <c:pt idx="3">
                  <c:v>380.0</c:v>
                </c:pt>
                <c:pt idx="4">
                  <c:v>516.0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Germany_ESS_multitasking!$B$6:$F$6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  <c:pt idx="3">
                  <c:v>DA+ID</c:v>
                </c:pt>
                <c:pt idx="4">
                  <c:v>DA+ID+SCR</c:v>
                </c:pt>
              </c:strCache>
            </c:strRef>
          </c:cat>
          <c:val>
            <c:numRef>
              <c:f>Germany_ESS_multitasking!$B$8:$F$8</c:f>
              <c:numCache>
                <c:formatCode>General</c:formatCode>
                <c:ptCount val="5"/>
                <c:pt idx="0">
                  <c:v>99.0</c:v>
                </c:pt>
                <c:pt idx="1">
                  <c:v>50.0</c:v>
                </c:pt>
                <c:pt idx="2">
                  <c:v>29.0</c:v>
                </c:pt>
                <c:pt idx="3">
                  <c:v>157.0</c:v>
                </c:pt>
                <c:pt idx="4">
                  <c:v>295.0</c:v>
                </c:pt>
              </c:numCache>
            </c:numRef>
          </c:val>
        </c:ser>
        <c:ser>
          <c:idx val="2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\ ##0" sourceLinked="0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Germany_ESS_multitasking!$B$6:$F$6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  <c:pt idx="3">
                  <c:v>DA+ID</c:v>
                </c:pt>
                <c:pt idx="4">
                  <c:v>DA+ID+SCR</c:v>
                </c:pt>
              </c:strCache>
            </c:strRef>
          </c:cat>
          <c:val>
            <c:numRef>
              <c:f>Germany_ESS_multitasking!$B$9:$F$9</c:f>
              <c:numCache>
                <c:formatCode>General</c:formatCode>
                <c:ptCount val="5"/>
                <c:pt idx="0">
                  <c:v>-19807.0</c:v>
                </c:pt>
                <c:pt idx="1">
                  <c:v>-6585.0</c:v>
                </c:pt>
                <c:pt idx="2">
                  <c:v>-1298.0</c:v>
                </c:pt>
                <c:pt idx="3">
                  <c:v>-33019.0</c:v>
                </c:pt>
                <c:pt idx="4">
                  <c:v>-26246.0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60815216"/>
        <c:axId val="1687741120"/>
      </c:barChart>
      <c:barChart>
        <c:barDir val="col"/>
        <c:grouping val="clustered"/>
        <c:varyColors val="0"/>
        <c:ser>
          <c:idx val="3"/>
          <c:order val="3"/>
          <c:spPr>
            <a:solidFill>
              <a:schemeClr val="tx1">
                <a:lumMod val="50000"/>
                <a:lumOff val="50000"/>
                <a:alpha val="5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strRef>
              <c:f>Germany_ESS_multitasking!$B$6:$F$6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  <c:pt idx="3">
                  <c:v>DA+ID</c:v>
                </c:pt>
                <c:pt idx="4">
                  <c:v>DA+ID+SCR</c:v>
                </c:pt>
              </c:strCache>
            </c:strRef>
          </c:cat>
          <c:val>
            <c:numRef>
              <c:f>Germany_ESS_multitasking!$B$10:$F$10</c:f>
              <c:numCache>
                <c:formatCode>General</c:formatCode>
                <c:ptCount val="5"/>
                <c:pt idx="0">
                  <c:v>77805.0</c:v>
                </c:pt>
                <c:pt idx="1">
                  <c:v>25935.0</c:v>
                </c:pt>
                <c:pt idx="2">
                  <c:v>5187.0</c:v>
                </c:pt>
                <c:pt idx="3">
                  <c:v>129674.0</c:v>
                </c:pt>
                <c:pt idx="4">
                  <c:v>103739.0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100"/>
        <c:axId val="1532283600"/>
        <c:axId val="1655423136"/>
      </c:barChart>
      <c:catAx>
        <c:axId val="1660815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87741120"/>
        <c:crosses val="autoZero"/>
        <c:auto val="1"/>
        <c:lblAlgn val="ctr"/>
        <c:lblOffset val="100"/>
        <c:noMultiLvlLbl val="0"/>
      </c:catAx>
      <c:valAx>
        <c:axId val="1687741120"/>
        <c:scaling>
          <c:orientation val="minMax"/>
          <c:min val="-2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Income (mUSD)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60815216"/>
        <c:crosses val="autoZero"/>
        <c:crossBetween val="between"/>
        <c:majorUnit val="200.0"/>
      </c:valAx>
      <c:valAx>
        <c:axId val="1655423136"/>
        <c:scaling>
          <c:orientation val="minMax"/>
          <c:max val="150000.0"/>
          <c:min val="-5000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System Size (MW)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#\ ##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532283600"/>
        <c:crosses val="max"/>
        <c:crossBetween val="between"/>
        <c:majorUnit val="50000.0"/>
      </c:valAx>
      <c:catAx>
        <c:axId val="1532283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5542313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Germany_ESS_multitasking!$A$7</c:f>
              <c:strCache>
                <c:ptCount val="1"/>
                <c:pt idx="0">
                  <c:v>Revenue (mUSD)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Germany_ESS_multitasking!$B$6:$D$6</c:f>
              <c:strCache>
                <c:ptCount val="3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</c:strCache>
            </c:strRef>
          </c:cat>
          <c:val>
            <c:numRef>
              <c:f>Germany_ESS_multitasking!$B$7:$D$7</c:f>
              <c:numCache>
                <c:formatCode>General</c:formatCode>
                <c:ptCount val="3"/>
                <c:pt idx="0">
                  <c:v>239.0</c:v>
                </c:pt>
                <c:pt idx="1">
                  <c:v>120.0</c:v>
                </c:pt>
                <c:pt idx="2">
                  <c:v>29.0</c:v>
                </c:pt>
              </c:numCache>
            </c:numRef>
          </c:val>
        </c:ser>
        <c:ser>
          <c:idx val="1"/>
          <c:order val="1"/>
          <c:tx>
            <c:strRef>
              <c:f>Germany_ESS_multitasking!$A$8</c:f>
              <c:strCache>
                <c:ptCount val="1"/>
                <c:pt idx="0">
                  <c:v>Operating Profit (mUSD)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Germany_ESS_multitasking!$B$6:$D$6</c:f>
              <c:strCache>
                <c:ptCount val="3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</c:strCache>
            </c:strRef>
          </c:cat>
          <c:val>
            <c:numRef>
              <c:f>Germany_ESS_multitasking!$B$8:$D$8</c:f>
              <c:numCache>
                <c:formatCode>General</c:formatCode>
                <c:ptCount val="3"/>
                <c:pt idx="0">
                  <c:v>99.0</c:v>
                </c:pt>
                <c:pt idx="1">
                  <c:v>50.0</c:v>
                </c:pt>
                <c:pt idx="2">
                  <c:v>29.0</c:v>
                </c:pt>
              </c:numCache>
            </c:numRef>
          </c:val>
        </c:ser>
        <c:ser>
          <c:idx val="2"/>
          <c:order val="2"/>
          <c:tx>
            <c:strRef>
              <c:f>Germany_ESS_multitasking!$A$9</c:f>
              <c:strCache>
                <c:ptCount val="1"/>
                <c:pt idx="0">
                  <c:v>Profit (mUSD)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\ 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Germany_ESS_multitasking!$B$6:$D$6</c:f>
              <c:strCache>
                <c:ptCount val="3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</c:strCache>
            </c:strRef>
          </c:cat>
          <c:val>
            <c:numRef>
              <c:f>Germany_ESS_multitasking!$B$9:$D$9</c:f>
              <c:numCache>
                <c:formatCode>General</c:formatCode>
                <c:ptCount val="3"/>
                <c:pt idx="0">
                  <c:v>-19807.0</c:v>
                </c:pt>
                <c:pt idx="1">
                  <c:v>-6585.0</c:v>
                </c:pt>
                <c:pt idx="2">
                  <c:v>-1298.0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18736000"/>
        <c:axId val="1986722768"/>
      </c:barChart>
      <c:barChart>
        <c:barDir val="col"/>
        <c:grouping val="clustered"/>
        <c:varyColors val="0"/>
        <c:ser>
          <c:idx val="3"/>
          <c:order val="3"/>
          <c:tx>
            <c:strRef>
              <c:f>Germany_ESS_multitasking!$A$10</c:f>
              <c:strCache>
                <c:ptCount val="1"/>
                <c:pt idx="0">
                  <c:v>System Size (MW)</c:v>
                </c:pt>
              </c:strCache>
            </c:strRef>
          </c:tx>
          <c:spPr>
            <a:solidFill>
              <a:schemeClr val="tx1">
                <a:lumMod val="50000"/>
                <a:lumOff val="50000"/>
                <a:alpha val="10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strRef>
              <c:f>Germany_ESS_multitasking!$B$6:$D$6</c:f>
              <c:strCache>
                <c:ptCount val="3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</c:strCache>
            </c:strRef>
          </c:cat>
          <c:val>
            <c:numRef>
              <c:f>Germany_ESS_multitasking!$B$10:$D$10</c:f>
              <c:numCache>
                <c:formatCode>General</c:formatCode>
                <c:ptCount val="3"/>
                <c:pt idx="0">
                  <c:v>77805.0</c:v>
                </c:pt>
                <c:pt idx="1">
                  <c:v>25935.0</c:v>
                </c:pt>
                <c:pt idx="2">
                  <c:v>5187.0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100"/>
        <c:axId val="1694459216"/>
        <c:axId val="1691502064"/>
      </c:barChart>
      <c:catAx>
        <c:axId val="2018736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6722768"/>
        <c:crosses val="autoZero"/>
        <c:auto val="1"/>
        <c:lblAlgn val="ctr"/>
        <c:lblOffset val="100"/>
        <c:noMultiLvlLbl val="0"/>
      </c:catAx>
      <c:valAx>
        <c:axId val="1986722768"/>
        <c:scaling>
          <c:orientation val="minMax"/>
          <c:min val="-100.0"/>
        </c:scaling>
        <c:delete val="0"/>
        <c:axPos val="l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736000"/>
        <c:crosses val="autoZero"/>
        <c:crossBetween val="between"/>
      </c:valAx>
      <c:valAx>
        <c:axId val="1691502064"/>
        <c:scaling>
          <c:orientation val="minMax"/>
          <c:min val="-30000.0"/>
        </c:scaling>
        <c:delete val="0"/>
        <c:axPos val="r"/>
        <c:numFmt formatCode="#\ ##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4459216"/>
        <c:crosses val="max"/>
        <c:crossBetween val="between"/>
        <c:majorUnit val="30000.0"/>
      </c:valAx>
      <c:catAx>
        <c:axId val="1694459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9150206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447251385244"/>
          <c:y val="0.0902777777777778"/>
          <c:w val="0.719540682414698"/>
          <c:h val="0.74563648293963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Germany_ESS_multitasking!$B$6:$F$6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  <c:pt idx="3">
                  <c:v>DA+ID</c:v>
                </c:pt>
                <c:pt idx="4">
                  <c:v>DA+ID+SCR</c:v>
                </c:pt>
              </c:strCache>
            </c:strRef>
          </c:cat>
          <c:val>
            <c:numRef>
              <c:f>Germany_ESS_multitasking!$B$11:$F$11</c:f>
              <c:numCache>
                <c:formatCode>General</c:formatCode>
                <c:ptCount val="5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Germany_ESS_multitasking!$B$6:$F$6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  <c:pt idx="3">
                  <c:v>DA+ID</c:v>
                </c:pt>
                <c:pt idx="4">
                  <c:v>DA+ID+SCR</c:v>
                </c:pt>
              </c:strCache>
            </c:strRef>
          </c:cat>
          <c:val>
            <c:numRef>
              <c:f>Germany_ESS_multitasking!$B$12:$F$12</c:f>
              <c:numCache>
                <c:formatCode>General</c:formatCode>
                <c:ptCount val="5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</c:numCache>
            </c:numRef>
          </c:val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\ 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Germany_ESS_multitasking!$B$6:$F$6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  <c:pt idx="3">
                  <c:v>DA+ID</c:v>
                </c:pt>
                <c:pt idx="4">
                  <c:v>DA+ID+SCR</c:v>
                </c:pt>
              </c:strCache>
            </c:strRef>
          </c:cat>
          <c:val>
            <c:numRef>
              <c:f>Germany_ESS_multitasking!$B$13:$F$13</c:f>
              <c:numCache>
                <c:formatCode>General</c:formatCode>
                <c:ptCount val="5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91856640"/>
        <c:axId val="1988038112"/>
      </c:barChart>
      <c:barChart>
        <c:barDir val="col"/>
        <c:grouping val="clustered"/>
        <c:varyColors val="0"/>
        <c:ser>
          <c:idx val="3"/>
          <c:order val="3"/>
          <c:spPr>
            <a:solidFill>
              <a:schemeClr val="tx1">
                <a:lumMod val="50000"/>
                <a:lumOff val="50000"/>
                <a:alpha val="5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Germany_ESS_multitasking!$B$6:$F$6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  <c:pt idx="3">
                  <c:v>DA+ID</c:v>
                </c:pt>
                <c:pt idx="4">
                  <c:v>DA+ID+SCR</c:v>
                </c:pt>
              </c:strCache>
            </c:strRef>
          </c:cat>
          <c:val>
            <c:numRef>
              <c:f>Germany_ESS_multitasking!$B$14:$F$14</c:f>
              <c:numCache>
                <c:formatCode>General</c:formatCode>
                <c:ptCount val="5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100"/>
        <c:axId val="1735444288"/>
        <c:axId val="1734477248"/>
      </c:barChart>
      <c:catAx>
        <c:axId val="1691856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88038112"/>
        <c:crosses val="autoZero"/>
        <c:auto val="1"/>
        <c:lblAlgn val="ctr"/>
        <c:lblOffset val="100"/>
        <c:noMultiLvlLbl val="0"/>
      </c:catAx>
      <c:valAx>
        <c:axId val="19880381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Income (mUSD)</a:t>
                </a:r>
              </a:p>
            </c:rich>
          </c:tx>
          <c:layout>
            <c:manualLayout>
              <c:xMode val="edge"/>
              <c:yMode val="edge"/>
              <c:x val="0.0208333333333333"/>
              <c:y val="0.2003526902887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91856640"/>
        <c:crosses val="autoZero"/>
        <c:crossBetween val="between"/>
        <c:majorUnit val="10.0"/>
      </c:valAx>
      <c:valAx>
        <c:axId val="1734477248"/>
        <c:scaling>
          <c:orientation val="minMax"/>
          <c:max val="70.0"/>
          <c:min val="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System Size (MW)</a:t>
                </a:r>
              </a:p>
            </c:rich>
          </c:tx>
          <c:layout>
            <c:manualLayout>
              <c:xMode val="edge"/>
              <c:yMode val="edge"/>
              <c:x val="0.93517351997667"/>
              <c:y val="0.161776574803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#\ ##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735444288"/>
        <c:crosses val="max"/>
        <c:crossBetween val="between"/>
        <c:majorUnit val="20.0"/>
      </c:valAx>
      <c:catAx>
        <c:axId val="17354442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3447724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447251385244"/>
          <c:y val="0.0902777777777778"/>
          <c:w val="0.719540682414698"/>
          <c:h val="0.74563648293963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Germany_ESS_multitasking!$B$6:$F$6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  <c:pt idx="3">
                  <c:v>DA+ID</c:v>
                </c:pt>
                <c:pt idx="4">
                  <c:v>DA+ID+SCR</c:v>
                </c:pt>
              </c:strCache>
            </c:strRef>
          </c:cat>
          <c:val>
            <c:numRef>
              <c:f>Germany_ESS_multitasking!$B$15:$F$15</c:f>
              <c:numCache>
                <c:formatCode>General</c:formatCode>
                <c:ptCount val="5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Germany_ESS_multitasking!$B$6:$F$6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  <c:pt idx="3">
                  <c:v>DA+ID</c:v>
                </c:pt>
                <c:pt idx="4">
                  <c:v>DA+ID+SCR</c:v>
                </c:pt>
              </c:strCache>
            </c:strRef>
          </c:cat>
          <c:val>
            <c:numRef>
              <c:f>Germany_ESS_multitasking!$B$16:$F$16</c:f>
              <c:numCache>
                <c:formatCode>General</c:formatCode>
                <c:ptCount val="5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</c:numCache>
            </c:numRef>
          </c:val>
        </c:ser>
        <c:ser>
          <c:idx val="2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\ 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Germany_ESS_multitasking!$B$6:$F$6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  <c:pt idx="3">
                  <c:v>DA+ID</c:v>
                </c:pt>
                <c:pt idx="4">
                  <c:v>DA+ID+SCR</c:v>
                </c:pt>
              </c:strCache>
            </c:strRef>
          </c:cat>
          <c:val>
            <c:numRef>
              <c:f>Germany_ESS_multitasking!$B$17:$F$17</c:f>
              <c:numCache>
                <c:formatCode>General</c:formatCode>
                <c:ptCount val="5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732366976"/>
        <c:axId val="1643683984"/>
      </c:barChart>
      <c:barChart>
        <c:barDir val="col"/>
        <c:grouping val="clustered"/>
        <c:varyColors val="0"/>
        <c:ser>
          <c:idx val="3"/>
          <c:order val="3"/>
          <c:spPr>
            <a:solidFill>
              <a:schemeClr val="tx1">
                <a:lumMod val="50000"/>
                <a:lumOff val="50000"/>
                <a:alpha val="5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Germany_ESS_multitasking!$B$6:$F$6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  <c:pt idx="3">
                  <c:v>DA+ID</c:v>
                </c:pt>
                <c:pt idx="4">
                  <c:v>DA+ID+SCR</c:v>
                </c:pt>
              </c:strCache>
            </c:strRef>
          </c:cat>
          <c:val>
            <c:numRef>
              <c:f>Germany_ESS_multitasking!$B$18:$F$18</c:f>
              <c:numCache>
                <c:formatCode>General</c:formatCode>
                <c:ptCount val="5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100"/>
        <c:axId val="1643863776"/>
        <c:axId val="1643986048"/>
      </c:barChart>
      <c:catAx>
        <c:axId val="173236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43683984"/>
        <c:crosses val="autoZero"/>
        <c:auto val="1"/>
        <c:lblAlgn val="ctr"/>
        <c:lblOffset val="100"/>
        <c:noMultiLvlLbl val="0"/>
      </c:catAx>
      <c:valAx>
        <c:axId val="1643683984"/>
        <c:scaling>
          <c:orientation val="minMax"/>
          <c:max val="3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Income (mUSD)</a:t>
                </a:r>
              </a:p>
            </c:rich>
          </c:tx>
          <c:layout>
            <c:manualLayout>
              <c:xMode val="edge"/>
              <c:yMode val="edge"/>
              <c:x val="0.0208333333333333"/>
              <c:y val="0.2003526902887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732366976"/>
        <c:crosses val="autoZero"/>
        <c:crossBetween val="between"/>
        <c:majorUnit val="10.0"/>
      </c:valAx>
      <c:valAx>
        <c:axId val="1643986048"/>
        <c:scaling>
          <c:orientation val="minMax"/>
          <c:max val="70.0"/>
          <c:min val="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System Size (MW)</a:t>
                </a:r>
              </a:p>
            </c:rich>
          </c:tx>
          <c:layout>
            <c:manualLayout>
              <c:xMode val="edge"/>
              <c:yMode val="edge"/>
              <c:x val="0.93517351997667"/>
              <c:y val="0.161776574803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#\ ##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43863776"/>
        <c:crosses val="max"/>
        <c:crossBetween val="between"/>
        <c:majorUnit val="20.0"/>
      </c:valAx>
      <c:catAx>
        <c:axId val="1643863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4398604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447251385244"/>
          <c:y val="0.0902777777777778"/>
          <c:w val="0.719540682414698"/>
          <c:h val="0.74563648293963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00462962962962961"/>
                  <c:y val="-0.062500000000000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.0"/>
                  <c:y val="-0.048611111111111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0.00231481481481481"/>
                  <c:y val="-0.041666666666666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8.48755627201341E-17"/>
                  <c:y val="-0.034722222222222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00462962962962971"/>
                  <c:y val="-0.0138888888888889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Germany_ESS_multitasking!$B$6:$F$6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  <c:pt idx="3">
                  <c:v>DA+ID</c:v>
                </c:pt>
                <c:pt idx="4">
                  <c:v>DA+ID+SCR</c:v>
                </c:pt>
              </c:strCache>
            </c:strRef>
          </c:cat>
          <c:val>
            <c:numRef>
              <c:f>Germany_ESS_multitasking!$B$19:$F$19</c:f>
              <c:numCache>
                <c:formatCode>General</c:formatCode>
                <c:ptCount val="5"/>
                <c:pt idx="0">
                  <c:v>0.0132528405386787</c:v>
                </c:pt>
                <c:pt idx="1">
                  <c:v>0.0175126576946667</c:v>
                </c:pt>
                <c:pt idx="2">
                  <c:v>0.0114727285314871</c:v>
                </c:pt>
                <c:pt idx="3">
                  <c:v>0.0224459224925147</c:v>
                </c:pt>
                <c:pt idx="4">
                  <c:v>0.0544872407506953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Germany_ESS_multitasking!$B$6:$F$6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  <c:pt idx="3">
                  <c:v>DA+ID</c:v>
                </c:pt>
                <c:pt idx="4">
                  <c:v>DA+ID+SCR</c:v>
                </c:pt>
              </c:strCache>
            </c:strRef>
          </c:cat>
          <c:val>
            <c:numRef>
              <c:f>Germany_ESS_multitasking!$B$20:$F$20</c:f>
              <c:numCache>
                <c:formatCode>General</c:formatCode>
                <c:ptCount val="5"/>
                <c:pt idx="0">
                  <c:v>0.00567169484423421</c:v>
                </c:pt>
                <c:pt idx="1">
                  <c:v>0.00768743515994444</c:v>
                </c:pt>
                <c:pt idx="2">
                  <c:v>0.0114693292032026</c:v>
                </c:pt>
                <c:pt idx="3">
                  <c:v>0.00978312895084804</c:v>
                </c:pt>
                <c:pt idx="4">
                  <c:v>0.0457398015144387</c:v>
                </c:pt>
              </c:numCache>
            </c:numRef>
          </c:val>
        </c:ser>
        <c:ser>
          <c:idx val="2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Germany_ESS_multitasking!$B$6:$F$6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  <c:pt idx="3">
                  <c:v>DA+ID</c:v>
                </c:pt>
                <c:pt idx="4">
                  <c:v>DA+ID+SCR</c:v>
                </c:pt>
              </c:strCache>
            </c:strRef>
          </c:cat>
          <c:val>
            <c:numRef>
              <c:f>Germany_ESS_multitasking!$B$21:$F$21</c:f>
              <c:numCache>
                <c:formatCode>General</c:formatCode>
                <c:ptCount val="5"/>
                <c:pt idx="0">
                  <c:v>-0.250171857991282</c:v>
                </c:pt>
                <c:pt idx="1">
                  <c:v>-0.248156117675572</c:v>
                </c:pt>
                <c:pt idx="2">
                  <c:v>-0.244374223632314</c:v>
                </c:pt>
                <c:pt idx="3">
                  <c:v>-0.246060423884668</c:v>
                </c:pt>
                <c:pt idx="4">
                  <c:v>-0.210103751321077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84034320"/>
        <c:axId val="1657538528"/>
      </c:barChart>
      <c:barChart>
        <c:barDir val="col"/>
        <c:grouping val="clustered"/>
        <c:varyColors val="0"/>
        <c:ser>
          <c:idx val="3"/>
          <c:order val="3"/>
          <c:spPr>
            <a:solidFill>
              <a:schemeClr val="tx1">
                <a:lumMod val="50000"/>
                <a:lumOff val="50000"/>
                <a:alpha val="5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strRef>
              <c:f>Germany_ESS_multitasking!$B$6:$F$6</c:f>
              <c:strCache>
                <c:ptCount val="5"/>
                <c:pt idx="0">
                  <c:v>DA</c:v>
                </c:pt>
                <c:pt idx="1">
                  <c:v>ID</c:v>
                </c:pt>
                <c:pt idx="2">
                  <c:v>SCR</c:v>
                </c:pt>
                <c:pt idx="3">
                  <c:v>DA+ID</c:v>
                </c:pt>
                <c:pt idx="4">
                  <c:v>DA+ID+SCR</c:v>
                </c:pt>
              </c:strCache>
            </c:strRef>
          </c:cat>
          <c:val>
            <c:numRef>
              <c:f>Germany_ESS_multitasking!$B$22:$F$22</c:f>
              <c:numCache>
                <c:formatCode>General</c:formatCode>
                <c:ptCount val="5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100"/>
        <c:axId val="1574248672"/>
        <c:axId val="1678825968"/>
      </c:barChart>
      <c:catAx>
        <c:axId val="1584034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57538528"/>
        <c:crosses val="autoZero"/>
        <c:auto val="1"/>
        <c:lblAlgn val="ctr"/>
        <c:lblOffset val="100"/>
        <c:noMultiLvlLbl val="0"/>
      </c:catAx>
      <c:valAx>
        <c:axId val="1657538528"/>
        <c:scaling>
          <c:orientation val="minMax"/>
          <c:max val="0.2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Income (mUSD)</a:t>
                </a:r>
              </a:p>
            </c:rich>
          </c:tx>
          <c:layout>
            <c:manualLayout>
              <c:xMode val="edge"/>
              <c:yMode val="edge"/>
              <c:x val="0.0208333333333333"/>
              <c:y val="0.2003526902887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584034320"/>
        <c:crosses val="autoZero"/>
        <c:crossBetween val="between"/>
      </c:valAx>
      <c:valAx>
        <c:axId val="1678825968"/>
        <c:scaling>
          <c:orientation val="minMax"/>
          <c:max val="1.2"/>
          <c:min val="-1.8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System Size (MW)</a:t>
                </a:r>
              </a:p>
            </c:rich>
          </c:tx>
          <c:layout>
            <c:manualLayout>
              <c:xMode val="edge"/>
              <c:yMode val="edge"/>
              <c:x val="0.93517351997667"/>
              <c:y val="0.161776574803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#\ ##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574248672"/>
        <c:crosses val="max"/>
        <c:crossBetween val="between"/>
        <c:majorUnit val="2.8"/>
      </c:valAx>
      <c:catAx>
        <c:axId val="1574248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882596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1417869641295"/>
          <c:y val="0.0261181102362205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'Germany_ESS (2)'!$A$30:$A$34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'Germany_ESS (2)'!$J$30:$J$34</c:f>
              <c:numCache>
                <c:formatCode>0</c:formatCode>
                <c:ptCount val="5"/>
                <c:pt idx="0">
                  <c:v>11.4727285314871</c:v>
                </c:pt>
                <c:pt idx="1">
                  <c:v>11.4693292032026</c:v>
                </c:pt>
                <c:pt idx="2">
                  <c:v>11.4693292032026</c:v>
                </c:pt>
                <c:pt idx="3">
                  <c:v>-244.374223632314</c:v>
                </c:pt>
                <c:pt idx="4">
                  <c:v>-244.374223632314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'Germany_ESS (2)'!$A$30:$A$34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'Germany_ESS (2)'!$K$30:$K$34</c:f>
              <c:numCache>
                <c:formatCode>0</c:formatCode>
                <c:ptCount val="5"/>
                <c:pt idx="1">
                  <c:v>0.00339932828450173</c:v>
                </c:pt>
                <c:pt idx="3">
                  <c:v>11.4693292032026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693453792"/>
        <c:axId val="2023593808"/>
      </c:barChart>
      <c:catAx>
        <c:axId val="1693453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2023593808"/>
        <c:crosses val="autoZero"/>
        <c:auto val="1"/>
        <c:lblAlgn val="ctr"/>
        <c:lblOffset val="100"/>
        <c:noMultiLvlLbl val="0"/>
      </c:catAx>
      <c:valAx>
        <c:axId val="2023593808"/>
        <c:scaling>
          <c:orientation val="minMax"/>
          <c:max val="400.0"/>
          <c:min val="-3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9345379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Revenue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'Germany_ESS (2)'!$B$6:$F$6</c:f>
              <c:strCache>
                <c:ptCount val="5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</c:strCache>
            </c:strRef>
          </c:cat>
          <c:val>
            <c:numRef>
              <c:f>'Germany_ESS (2)'!$B$25:$F$25</c:f>
              <c:numCache>
                <c:formatCode>_ * #\ ##0_ ;_ * \-#\ ##0_ ;_ * "-"??_ ;_ @_ </c:formatCode>
                <c:ptCount val="5"/>
                <c:pt idx="0">
                  <c:v>4.414906343256462</c:v>
                </c:pt>
                <c:pt idx="1">
                  <c:v>0.867558015050396</c:v>
                </c:pt>
                <c:pt idx="2">
                  <c:v>0.578372010033598</c:v>
                </c:pt>
                <c:pt idx="3">
                  <c:v>10.71916125262268</c:v>
                </c:pt>
                <c:pt idx="4">
                  <c:v>11.60599833467419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3986480"/>
        <c:axId val="2028057104"/>
      </c:barChart>
      <c:barChart>
        <c:barDir val="col"/>
        <c:grouping val="clustered"/>
        <c:varyColors val="0"/>
        <c:ser>
          <c:idx val="1"/>
          <c:order val="1"/>
          <c:tx>
            <c:v>System size</c:v>
          </c:tx>
          <c:spPr>
            <a:solidFill>
              <a:schemeClr val="bg2">
                <a:alpha val="2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'Germany_ESS (2)'!$B$6:$F$6</c:f>
              <c:strCache>
                <c:ptCount val="5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</c:strCache>
            </c:strRef>
          </c:cat>
          <c:val>
            <c:numRef>
              <c:f>'Germany_ESS (2)'!$B$26:$F$26</c:f>
              <c:numCache>
                <c:formatCode>_ * #\ ##0_ ;_ * \-#\ ##0_ ;_ * "-"??_ ;_ @_ </c:formatCode>
                <c:ptCount val="5"/>
                <c:pt idx="0">
                  <c:v>0.877139711349953</c:v>
                </c:pt>
                <c:pt idx="1">
                  <c:v>0.00296897631817247</c:v>
                </c:pt>
                <c:pt idx="2">
                  <c:v>0.0146135327868489</c:v>
                </c:pt>
                <c:pt idx="3">
                  <c:v>1.461912371627923</c:v>
                </c:pt>
                <c:pt idx="4">
                  <c:v>1.461912371627923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100"/>
        <c:axId val="2015884144"/>
        <c:axId val="1684296176"/>
      </c:barChart>
      <c:catAx>
        <c:axId val="1583986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2028057104"/>
        <c:crosses val="autoZero"/>
        <c:auto val="1"/>
        <c:lblAlgn val="ctr"/>
        <c:lblOffset val="100"/>
        <c:noMultiLvlLbl val="0"/>
      </c:catAx>
      <c:valAx>
        <c:axId val="20280571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Revenue [USD/(a-MP)]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583986480"/>
        <c:crosses val="autoZero"/>
        <c:crossBetween val="between"/>
      </c:valAx>
      <c:valAx>
        <c:axId val="1684296176"/>
        <c:scaling>
          <c:orientation val="minMax"/>
          <c:min val="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Size [(kW ESS)/(MP)]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_ * #\ ##0_ ;_ * \-#\ ##0_ ;_ * &quot;-&quot;??_ ;_ @_ 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2015884144"/>
        <c:crosses val="max"/>
        <c:crossBetween val="between"/>
      </c:valAx>
      <c:catAx>
        <c:axId val="20158841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8429617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t"/>
      <c:layout>
        <c:manualLayout>
          <c:xMode val="edge"/>
          <c:yMode val="edge"/>
          <c:x val="0.623507874015748"/>
          <c:y val="0.0972222222222222"/>
          <c:w val="0.211317366579178"/>
          <c:h val="0.188411708953048"/>
        </c:manualLayout>
      </c:layout>
      <c:overlay val="1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1417869641295"/>
          <c:y val="0.0288958880139982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'Germany_ESS (2)'!$A$30:$A$34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'Germany_ESS (2)'!$H$30:$H$34</c:f>
              <c:numCache>
                <c:formatCode>0</c:formatCode>
                <c:ptCount val="5"/>
                <c:pt idx="0">
                  <c:v>153.92734457616</c:v>
                </c:pt>
                <c:pt idx="1">
                  <c:v>153.92734457616</c:v>
                </c:pt>
                <c:pt idx="2">
                  <c:v>153.92734457616</c:v>
                </c:pt>
                <c:pt idx="3">
                  <c:v>-101.916208259356</c:v>
                </c:pt>
                <c:pt idx="4">
                  <c:v>-101.916208259356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'Germany_ESS (2)'!$A$30:$A$34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'Germany_ESS (2)'!$I$30:$I$34</c:f>
              <c:numCache>
                <c:formatCode>0</c:formatCode>
                <c:ptCount val="5"/>
                <c:pt idx="1">
                  <c:v>0.0</c:v>
                </c:pt>
                <c:pt idx="3">
                  <c:v>153.92734457616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686378864"/>
        <c:axId val="1686766624"/>
      </c:barChart>
      <c:catAx>
        <c:axId val="1686378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86766624"/>
        <c:crosses val="autoZero"/>
        <c:auto val="1"/>
        <c:lblAlgn val="ctr"/>
        <c:lblOffset val="100"/>
        <c:noMultiLvlLbl val="0"/>
      </c:catAx>
      <c:valAx>
        <c:axId val="1686766624"/>
        <c:scaling>
          <c:orientation val="minMax"/>
          <c:max val="400.0"/>
          <c:min val="-3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8637886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1417869641295"/>
          <c:y val="0.0261181102362205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'Germany_ESS (2)'!$A$30:$A$34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'Germany_ESS (2)'!$D$30:$D$34</c:f>
              <c:numCache>
                <c:formatCode>0</c:formatCode>
                <c:ptCount val="5"/>
                <c:pt idx="0">
                  <c:v>17.5126576946667</c:v>
                </c:pt>
                <c:pt idx="1">
                  <c:v>7.68743515994444</c:v>
                </c:pt>
                <c:pt idx="2">
                  <c:v>7.68743515994444</c:v>
                </c:pt>
                <c:pt idx="3">
                  <c:v>-248.156117675572</c:v>
                </c:pt>
                <c:pt idx="4">
                  <c:v>-248.156117675572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'Germany_ESS (2)'!$A$30:$A$34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'Germany_ESS (2)'!$E$30:$E$34</c:f>
              <c:numCache>
                <c:formatCode>0</c:formatCode>
                <c:ptCount val="5"/>
                <c:pt idx="1">
                  <c:v>9.82522253472226</c:v>
                </c:pt>
                <c:pt idx="3">
                  <c:v>7.68743515994444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043958304"/>
        <c:axId val="1643256944"/>
      </c:barChart>
      <c:catAx>
        <c:axId val="2043958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43256944"/>
        <c:crosses val="autoZero"/>
        <c:auto val="1"/>
        <c:lblAlgn val="ctr"/>
        <c:lblOffset val="100"/>
        <c:noMultiLvlLbl val="0"/>
      </c:catAx>
      <c:valAx>
        <c:axId val="1643256944"/>
        <c:scaling>
          <c:orientation val="minMax"/>
          <c:max val="4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204395830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5629144948431"/>
          <c:y val="0.0175069991251094"/>
          <c:w val="0.551696573139625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'Germany_ESS (2)'!$A$30:$A$34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'Germany_ESS (2)'!$B$30:$B$34</c:f>
              <c:numCache>
                <c:formatCode>0</c:formatCode>
                <c:ptCount val="5"/>
                <c:pt idx="0">
                  <c:v>13.2528405386787</c:v>
                </c:pt>
                <c:pt idx="1">
                  <c:v>5.67169484423421</c:v>
                </c:pt>
                <c:pt idx="2">
                  <c:v>5.67169484423421</c:v>
                </c:pt>
                <c:pt idx="3">
                  <c:v>-250.171857991282</c:v>
                </c:pt>
                <c:pt idx="4">
                  <c:v>-250.171857991282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'Germany_ESS (2)'!$A$30:$A$34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'Germany_ESS (2)'!$C$30:$C$34</c:f>
              <c:numCache>
                <c:formatCode>0</c:formatCode>
                <c:ptCount val="5"/>
                <c:pt idx="1">
                  <c:v>7.58114569444449</c:v>
                </c:pt>
                <c:pt idx="3">
                  <c:v>5.67169484423421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660139680"/>
        <c:axId val="1977395104"/>
      </c:barChart>
      <c:catAx>
        <c:axId val="1660139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77395104"/>
        <c:crosses val="autoZero"/>
        <c:auto val="1"/>
        <c:lblAlgn val="ctr"/>
        <c:lblOffset val="100"/>
        <c:noMultiLvlLbl val="0"/>
      </c:catAx>
      <c:valAx>
        <c:axId val="1977395104"/>
        <c:scaling>
          <c:orientation val="minMax"/>
          <c:max val="4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 sz="1400"/>
                  <a:t>USD/(a-kW</a:t>
                </a:r>
                <a:r>
                  <a:rPr lang="en-US" sz="1400" baseline="0"/>
                  <a:t> ESS)</a:t>
                </a:r>
                <a:endParaRPr lang="en-US" sz="1400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6013968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1417869641295"/>
          <c:y val="0.0261181102362205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</c:dPt>
          <c:cat>
            <c:strRef>
              <c:f>'Germany_ESS (2)'!$A$30:$A$34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'Germany_ESS (2)'!$F$30:$F$34</c:f>
              <c:numCache>
                <c:formatCode>0</c:formatCode>
                <c:ptCount val="5"/>
                <c:pt idx="0">
                  <c:v>325.686320245466</c:v>
                </c:pt>
                <c:pt idx="1">
                  <c:v>277.158302285157</c:v>
                </c:pt>
                <c:pt idx="2">
                  <c:v>277.158302285157</c:v>
                </c:pt>
                <c:pt idx="3">
                  <c:v>21.3147494496412</c:v>
                </c:pt>
                <c:pt idx="4">
                  <c:v>21.3147494496412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'Germany_ESS (2)'!$A$30:$A$34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'Germany_ESS (2)'!$G$30:$G$34</c:f>
              <c:numCache>
                <c:formatCode>0</c:formatCode>
                <c:ptCount val="5"/>
                <c:pt idx="1">
                  <c:v>48.528017960309</c:v>
                </c:pt>
                <c:pt idx="3">
                  <c:v>255.8435528355158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643385584"/>
        <c:axId val="1643167712"/>
      </c:barChart>
      <c:catAx>
        <c:axId val="1643385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43167712"/>
        <c:crosses val="autoZero"/>
        <c:auto val="1"/>
        <c:lblAlgn val="ctr"/>
        <c:lblOffset val="100"/>
        <c:noMultiLvlLbl val="0"/>
      </c:catAx>
      <c:valAx>
        <c:axId val="1643167712"/>
        <c:scaling>
          <c:orientation val="minMax"/>
          <c:max val="400.0"/>
          <c:min val="-3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4338558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364303027695308"/>
          <c:y val="0.0272448235637212"/>
          <c:w val="0.939782005748824"/>
          <c:h val="0.330633566637504"/>
        </c:manualLayout>
      </c:layout>
      <c:barChart>
        <c:barDir val="col"/>
        <c:grouping val="clustered"/>
        <c:varyColors val="0"/>
        <c:ser>
          <c:idx val="0"/>
          <c:order val="0"/>
          <c:tx>
            <c:v>Revenue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val>
            <c:numRef>
              <c:f>'Germany_ESS (2)'!$F$67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1"/>
          <c:order val="1"/>
          <c:tx>
            <c:v>Operating Cost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'Germany_ESS (2)'!$G$67</c:f>
              <c:numCache>
                <c:formatCode>General</c:formatCode>
                <c:ptCount val="1"/>
                <c:pt idx="0">
                  <c:v>2.0</c:v>
                </c:pt>
              </c:numCache>
            </c:numRef>
          </c:val>
        </c:ser>
        <c:ser>
          <c:idx val="2"/>
          <c:order val="2"/>
          <c:tx>
            <c:v>Operating Profit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'Germany_ESS (2)'!$H$67</c:f>
              <c:numCache>
                <c:formatCode>General</c:formatCode>
                <c:ptCount val="1"/>
                <c:pt idx="0">
                  <c:v>3.0</c:v>
                </c:pt>
              </c:numCache>
            </c:numRef>
          </c:val>
        </c:ser>
        <c:ser>
          <c:idx val="3"/>
          <c:order val="3"/>
          <c:tx>
            <c:v>Fixed Cost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'Germany_ESS (2)'!$I$67</c:f>
              <c:numCache>
                <c:formatCode>General</c:formatCode>
                <c:ptCount val="1"/>
                <c:pt idx="0">
                  <c:v>4.0</c:v>
                </c:pt>
              </c:numCache>
            </c:numRef>
          </c:val>
        </c:ser>
        <c:ser>
          <c:idx val="4"/>
          <c:order val="4"/>
          <c:tx>
            <c:v>Profit (positive)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val>
            <c:numRef>
              <c:f>'Germany_ESS (2)'!$J$67</c:f>
              <c:numCache>
                <c:formatCode>General</c:formatCode>
                <c:ptCount val="1"/>
                <c:pt idx="0">
                  <c:v>5.0</c:v>
                </c:pt>
              </c:numCache>
            </c:numRef>
          </c:val>
        </c:ser>
        <c:ser>
          <c:idx val="5"/>
          <c:order val="5"/>
          <c:tx>
            <c:v>Profit (negative)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1.0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4607536"/>
        <c:axId val="2055894160"/>
      </c:barChart>
      <c:catAx>
        <c:axId val="168460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5894160"/>
        <c:crosses val="autoZero"/>
        <c:auto val="1"/>
        <c:lblAlgn val="ctr"/>
        <c:lblOffset val="100"/>
        <c:noMultiLvlLbl val="0"/>
      </c:catAx>
      <c:valAx>
        <c:axId val="2055894160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460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"/>
          <c:y val="0.886671770195392"/>
          <c:w val="1.0"/>
          <c:h val="0.113328229804608"/>
        </c:manualLayout>
      </c:layout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Revenue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'Germany_ESS (2)'!$C$39:$D$39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'Germany_ESS (2)'!$C$40:$D$40</c:f>
              <c:numCache>
                <c:formatCode>0</c:formatCode>
                <c:ptCount val="2"/>
                <c:pt idx="0">
                  <c:v>0.501255742029118</c:v>
                </c:pt>
                <c:pt idx="1">
                  <c:v>0.327744139019039</c:v>
                </c:pt>
              </c:numCache>
            </c:numRef>
          </c:val>
        </c:ser>
        <c:ser>
          <c:idx val="1"/>
          <c:order val="1"/>
          <c:tx>
            <c:v>Operating Profit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'Germany_ESS (2)'!$C$39:$D$39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'Germany_ESS (2)'!$C$41:$D$41</c:f>
              <c:numCache>
                <c:formatCode>0</c:formatCode>
                <c:ptCount val="2"/>
                <c:pt idx="0">
                  <c:v>0.404860407023518</c:v>
                </c:pt>
                <c:pt idx="1">
                  <c:v>0.269906938015679</c:v>
                </c:pt>
              </c:numCache>
            </c:numRef>
          </c:val>
        </c:ser>
        <c:ser>
          <c:idx val="2"/>
          <c:order val="2"/>
          <c:tx>
            <c:v>Profit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'Germany_ESS (2)'!$C$39:$D$39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'Germany_ESS (2)'!$C$42:$D$42</c:f>
              <c:numCache>
                <c:formatCode>0</c:formatCode>
                <c:ptCount val="2"/>
                <c:pt idx="0">
                  <c:v>0.0</c:v>
                </c:pt>
                <c:pt idx="1">
                  <c:v>0.0192790670011199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4428800"/>
        <c:axId val="1658745664"/>
      </c:barChart>
      <c:barChart>
        <c:barDir val="col"/>
        <c:grouping val="clustered"/>
        <c:varyColors val="0"/>
        <c:ser>
          <c:idx val="3"/>
          <c:order val="3"/>
          <c:tx>
            <c:v>System Size</c:v>
          </c:tx>
          <c:spPr>
            <a:solidFill>
              <a:schemeClr val="accent3">
                <a:alpha val="1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'Germany_ESS (2)'!$C$39:$D$39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'Germany_ESS (2)'!$C$43:$D$43</c:f>
              <c:numCache>
                <c:formatCode>0</c:formatCode>
                <c:ptCount val="2"/>
                <c:pt idx="0">
                  <c:v>0.00115674402006719</c:v>
                </c:pt>
                <c:pt idx="1">
                  <c:v>0.00100251148405824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978483904"/>
        <c:axId val="1679347024"/>
      </c:barChart>
      <c:catAx>
        <c:axId val="1574428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58745664"/>
        <c:crosses val="autoZero"/>
        <c:auto val="1"/>
        <c:lblAlgn val="ctr"/>
        <c:lblOffset val="100"/>
        <c:noMultiLvlLbl val="0"/>
      </c:catAx>
      <c:valAx>
        <c:axId val="1658745664"/>
        <c:scaling>
          <c:orientation val="minMax"/>
          <c:max val="6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USD/(a-MW consumption)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574428800"/>
        <c:crosses val="autoZero"/>
        <c:crossBetween val="between"/>
        <c:majorUnit val="200.0"/>
      </c:valAx>
      <c:valAx>
        <c:axId val="1679347024"/>
        <c:scaling>
          <c:orientation val="minMax"/>
          <c:max val="1.2"/>
          <c:min val="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(kW ESS)/(MW consumption)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78483904"/>
        <c:crosses val="max"/>
        <c:crossBetween val="between"/>
        <c:majorUnit val="0.4"/>
      </c:valAx>
      <c:catAx>
        <c:axId val="1978483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7934702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165814523184602"/>
          <c:y val="0.0792366579177602"/>
          <c:w val="0.660037620297463"/>
          <c:h val="0.092059638378536"/>
        </c:manualLayout>
      </c:layout>
      <c:overlay val="1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1417869641295"/>
          <c:y val="0.0261181102362205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</c:dPt>
          <c:cat>
            <c:strRef>
              <c:f>PJM_ESS_New!$A$30:$A$34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PJM_ESS_New!$J$30:$J$34</c:f>
              <c:numCache>
                <c:formatCode>0</c:formatCode>
                <c:ptCount val="5"/>
                <c:pt idx="0">
                  <c:v>281.357194650528</c:v>
                </c:pt>
                <c:pt idx="1">
                  <c:v>276.337192218824</c:v>
                </c:pt>
                <c:pt idx="2">
                  <c:v>276.337192218824</c:v>
                </c:pt>
                <c:pt idx="3">
                  <c:v>20.4936393833074</c:v>
                </c:pt>
                <c:pt idx="4">
                  <c:v>20.4936393833074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PJM_ESS_New!$A$30:$A$34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PJM_ESS_New!$K$30:$K$34</c:f>
              <c:numCache>
                <c:formatCode>0</c:formatCode>
                <c:ptCount val="5"/>
                <c:pt idx="1">
                  <c:v>5.020002431703972</c:v>
                </c:pt>
                <c:pt idx="3">
                  <c:v>255.8435528355166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055463296"/>
        <c:axId val="1978372912"/>
      </c:barChart>
      <c:catAx>
        <c:axId val="2055463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78372912"/>
        <c:crosses val="autoZero"/>
        <c:auto val="1"/>
        <c:lblAlgn val="ctr"/>
        <c:lblOffset val="100"/>
        <c:noMultiLvlLbl val="0"/>
      </c:catAx>
      <c:valAx>
        <c:axId val="1978372912"/>
        <c:scaling>
          <c:orientation val="minMax"/>
          <c:max val="400.0"/>
          <c:min val="-3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205546329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Revenue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00277777777777778"/>
                  <c:y val="0.10557888597258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bg1"/>
              </a:solidFill>
              <a:ln>
                <a:solidFill>
                  <a:srgbClr val="00B0F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PJM_ESS_New!$B$6:$G$6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PJM_ESS_New!$B$25:$G$25</c:f>
              <c:numCache>
                <c:formatCode>_ * #\ ##0_ ;_ * \-#\ ##0_ ;_ * "-"??_ ;_ @_ </c:formatCode>
                <c:ptCount val="6"/>
                <c:pt idx="0">
                  <c:v>7.549931504977301</c:v>
                </c:pt>
                <c:pt idx="1">
                  <c:v>1.483610994427854</c:v>
                </c:pt>
                <c:pt idx="2">
                  <c:v>0.989073996285236</c:v>
                </c:pt>
                <c:pt idx="3">
                  <c:v>18.33083806448637</c:v>
                </c:pt>
                <c:pt idx="4">
                  <c:v>19.84741819212373</c:v>
                </c:pt>
                <c:pt idx="5">
                  <c:v>19.68257252607619</c:v>
                </c:pt>
              </c:numCache>
            </c:numRef>
          </c:val>
        </c:ser>
        <c:ser>
          <c:idx val="1"/>
          <c:order val="1"/>
          <c:tx>
            <c:v>Operating Profit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PJM_ESS_New!$B$6:$G$6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PJM_ESS_New!$B$26:$G$26</c:f>
              <c:numCache>
                <c:formatCode>_ * #\ ##0_ ;_ * \-#\ ##0_ ;_ * "-"??_ ;_ @_ </c:formatCode>
                <c:ptCount val="6"/>
                <c:pt idx="0">
                  <c:v>2.604561523551121</c:v>
                </c:pt>
                <c:pt idx="1">
                  <c:v>1.483610994427854</c:v>
                </c:pt>
                <c:pt idx="2">
                  <c:v>0.989073996285236</c:v>
                </c:pt>
                <c:pt idx="3">
                  <c:v>8.077437636329426</c:v>
                </c:pt>
                <c:pt idx="4">
                  <c:v>9.594017763966788</c:v>
                </c:pt>
                <c:pt idx="5">
                  <c:v>9.495110364338264</c:v>
                </c:pt>
              </c:numCache>
            </c:numRef>
          </c:val>
        </c:ser>
        <c:ser>
          <c:idx val="3"/>
          <c:order val="2"/>
          <c:tx>
            <c:v>Profit (positive)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0.0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78133024"/>
        <c:axId val="1731772768"/>
      </c:barChart>
      <c:catAx>
        <c:axId val="197813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731772768"/>
        <c:crosses val="autoZero"/>
        <c:auto val="1"/>
        <c:lblAlgn val="ctr"/>
        <c:lblOffset val="100"/>
        <c:noMultiLvlLbl val="0"/>
      </c:catAx>
      <c:valAx>
        <c:axId val="17317727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USD/(a-MW consumption)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7813302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legendEntry>
        <c:idx val="2"/>
        <c:delete val="1"/>
      </c:legendEntry>
      <c:layout>
        <c:manualLayout>
          <c:xMode val="edge"/>
          <c:yMode val="edge"/>
          <c:x val="0.181841207349081"/>
          <c:y val="0.0694444444444444"/>
          <c:w val="0.243158792650919"/>
          <c:h val="0.271745042286381"/>
        </c:manualLayout>
      </c:layout>
      <c:overlay val="1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1417869641295"/>
          <c:y val="0.0288958880139982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PJM_ESS_New!$A$30:$A$34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PJM_ESS_New!$H$30:$H$34</c:f>
              <c:numCache>
                <c:formatCode>0</c:formatCode>
                <c:ptCount val="5"/>
                <c:pt idx="0">
                  <c:v>34.3247154369701</c:v>
                </c:pt>
                <c:pt idx="1">
                  <c:v>16.8889477286368</c:v>
                </c:pt>
                <c:pt idx="2">
                  <c:v>16.8889477286368</c:v>
                </c:pt>
                <c:pt idx="3">
                  <c:v>-238.954605106879</c:v>
                </c:pt>
                <c:pt idx="4">
                  <c:v>-238.954605106879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PJM_ESS_New!$A$30:$A$34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PJM_ESS_New!$I$30:$I$34</c:f>
              <c:numCache>
                <c:formatCode>0</c:formatCode>
                <c:ptCount val="5"/>
                <c:pt idx="1">
                  <c:v>17.43576770833329</c:v>
                </c:pt>
                <c:pt idx="3">
                  <c:v>16.8889477286368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654777248"/>
        <c:axId val="1655369856"/>
      </c:barChart>
      <c:catAx>
        <c:axId val="1654777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55369856"/>
        <c:crosses val="autoZero"/>
        <c:auto val="1"/>
        <c:lblAlgn val="ctr"/>
        <c:lblOffset val="100"/>
        <c:noMultiLvlLbl val="0"/>
      </c:catAx>
      <c:valAx>
        <c:axId val="1655369856"/>
        <c:scaling>
          <c:orientation val="minMax"/>
          <c:max val="400.0"/>
          <c:min val="-3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54777248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5629144948431"/>
          <c:y val="0.0175069991251094"/>
          <c:w val="0.571131418431851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PJM_ESS_New!$A$30:$A$34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PJM_ESS_New!$B$30:$B$34</c:f>
              <c:numCache>
                <c:formatCode>0</c:formatCode>
                <c:ptCount val="5"/>
                <c:pt idx="0">
                  <c:v>15.8609134033256</c:v>
                </c:pt>
                <c:pt idx="1">
                  <c:v>5.90011965332556</c:v>
                </c:pt>
                <c:pt idx="2">
                  <c:v>5.90011965332556</c:v>
                </c:pt>
                <c:pt idx="3">
                  <c:v>-249.943433182191</c:v>
                </c:pt>
                <c:pt idx="4">
                  <c:v>-249.943433182191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PJM_ESS_New!$A$30:$A$34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PJM_ESS_New!$C$30:$C$34</c:f>
              <c:numCache>
                <c:formatCode>0</c:formatCode>
                <c:ptCount val="5"/>
                <c:pt idx="1">
                  <c:v>9.96079375000004</c:v>
                </c:pt>
                <c:pt idx="3">
                  <c:v>5.90011965332556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655186640"/>
        <c:axId val="1546190592"/>
      </c:barChart>
      <c:catAx>
        <c:axId val="1655186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546190592"/>
        <c:crosses val="autoZero"/>
        <c:auto val="1"/>
        <c:lblAlgn val="ctr"/>
        <c:lblOffset val="100"/>
        <c:noMultiLvlLbl val="0"/>
      </c:catAx>
      <c:valAx>
        <c:axId val="1546190592"/>
        <c:scaling>
          <c:orientation val="minMax"/>
          <c:max val="4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 sz="1400"/>
                  <a:t>USD/(a-kW</a:t>
                </a:r>
                <a:r>
                  <a:rPr lang="en-US" sz="1400" baseline="0"/>
                  <a:t> ESS)</a:t>
                </a:r>
                <a:endParaRPr lang="en-US" sz="1400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5518664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1417869641295"/>
          <c:y val="0.0261181102362205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PJM_ESS_New!$A$30:$A$34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PJM_ESS_New!$F$30:$F$34</c:f>
              <c:numCache>
                <c:formatCode>0</c:formatCode>
                <c:ptCount val="5"/>
                <c:pt idx="0">
                  <c:v>121.577484703552</c:v>
                </c:pt>
                <c:pt idx="1">
                  <c:v>121.563396835328</c:v>
                </c:pt>
                <c:pt idx="2">
                  <c:v>121.563396835328</c:v>
                </c:pt>
                <c:pt idx="3">
                  <c:v>-134.280156000188</c:v>
                </c:pt>
                <c:pt idx="4">
                  <c:v>-134.280156000188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PJM_ESS_New!$A$30:$A$34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PJM_ESS_New!$G$30:$G$34</c:f>
              <c:numCache>
                <c:formatCode>0</c:formatCode>
                <c:ptCount val="5"/>
                <c:pt idx="1">
                  <c:v>0.0140878682239816</c:v>
                </c:pt>
                <c:pt idx="3">
                  <c:v>121.563396835328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577194944"/>
        <c:axId val="2044888912"/>
      </c:barChart>
      <c:catAx>
        <c:axId val="1577194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2044888912"/>
        <c:crosses val="autoZero"/>
        <c:auto val="1"/>
        <c:lblAlgn val="ctr"/>
        <c:lblOffset val="100"/>
        <c:noMultiLvlLbl val="0"/>
      </c:catAx>
      <c:valAx>
        <c:axId val="2044888912"/>
        <c:scaling>
          <c:orientation val="minMax"/>
          <c:max val="400.0"/>
          <c:min val="-3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5771949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364303027695308"/>
          <c:y val="0.0272448235637212"/>
          <c:w val="0.939782005748824"/>
          <c:h val="0.330633566637504"/>
        </c:manualLayout>
      </c:layout>
      <c:barChart>
        <c:barDir val="col"/>
        <c:grouping val="clustered"/>
        <c:varyColors val="0"/>
        <c:ser>
          <c:idx val="0"/>
          <c:order val="0"/>
          <c:tx>
            <c:v>Revenue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val>
            <c:numRef>
              <c:f>PJM_ESS_New!$F$67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1"/>
          <c:order val="1"/>
          <c:tx>
            <c:v>Operating Cost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PJM_ESS_New!$G$67</c:f>
              <c:numCache>
                <c:formatCode>General</c:formatCode>
                <c:ptCount val="1"/>
                <c:pt idx="0">
                  <c:v>2.0</c:v>
                </c:pt>
              </c:numCache>
            </c:numRef>
          </c:val>
        </c:ser>
        <c:ser>
          <c:idx val="2"/>
          <c:order val="2"/>
          <c:tx>
            <c:v>Operating Profit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PJM_ESS_New!$H$67</c:f>
              <c:numCache>
                <c:formatCode>General</c:formatCode>
                <c:ptCount val="1"/>
                <c:pt idx="0">
                  <c:v>3.0</c:v>
                </c:pt>
              </c:numCache>
            </c:numRef>
          </c:val>
        </c:ser>
        <c:ser>
          <c:idx val="3"/>
          <c:order val="3"/>
          <c:tx>
            <c:v>Fixed Cost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PJM_ESS_New!$I$67</c:f>
              <c:numCache>
                <c:formatCode>General</c:formatCode>
                <c:ptCount val="1"/>
                <c:pt idx="0">
                  <c:v>4.0</c:v>
                </c:pt>
              </c:numCache>
            </c:numRef>
          </c:val>
        </c:ser>
        <c:ser>
          <c:idx val="4"/>
          <c:order val="4"/>
          <c:tx>
            <c:v>Profit (positive)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val>
            <c:numRef>
              <c:f>PJM_ESS_New!$J$67</c:f>
              <c:numCache>
                <c:formatCode>General</c:formatCode>
                <c:ptCount val="1"/>
                <c:pt idx="0">
                  <c:v>5.0</c:v>
                </c:pt>
              </c:numCache>
            </c:numRef>
          </c:val>
        </c:ser>
        <c:ser>
          <c:idx val="5"/>
          <c:order val="5"/>
          <c:tx>
            <c:v>Profit (negative)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1.0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45421840"/>
        <c:axId val="2044931680"/>
      </c:barChart>
      <c:catAx>
        <c:axId val="204542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4931680"/>
        <c:crosses val="autoZero"/>
        <c:auto val="1"/>
        <c:lblAlgn val="ctr"/>
        <c:lblOffset val="100"/>
        <c:noMultiLvlLbl val="0"/>
      </c:catAx>
      <c:valAx>
        <c:axId val="2044931680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42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"/>
          <c:y val="0.886671770195392"/>
          <c:w val="1.0"/>
          <c:h val="0.113328229804608"/>
        </c:manualLayout>
      </c:layout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Revenue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PJM_ESS_New!$C$39:$D$39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PJM_ESS_New!$C$40:$D$40</c:f>
              <c:numCache>
                <c:formatCode>0</c:formatCode>
                <c:ptCount val="2"/>
                <c:pt idx="0">
                  <c:v>1.483610994427854</c:v>
                </c:pt>
                <c:pt idx="1">
                  <c:v>1.285796195170807</c:v>
                </c:pt>
              </c:numCache>
            </c:numRef>
          </c:val>
        </c:ser>
        <c:ser>
          <c:idx val="1"/>
          <c:order val="1"/>
          <c:tx>
            <c:v>Operating Profit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PJM_ESS_New!$C$39:$D$39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PJM_ESS_New!$C$41:$D$41</c:f>
              <c:numCache>
                <c:formatCode>0</c:formatCode>
                <c:ptCount val="2"/>
                <c:pt idx="0">
                  <c:v>1.483610994427854</c:v>
                </c:pt>
                <c:pt idx="1">
                  <c:v>1.285796195170807</c:v>
                </c:pt>
              </c:numCache>
            </c:numRef>
          </c:val>
        </c:ser>
        <c:ser>
          <c:idx val="2"/>
          <c:order val="2"/>
          <c:tx>
            <c:v>Profit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PJM_ESS_New!$C$39:$D$39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PJM_ESS_New!$C$42:$D$42</c:f>
              <c:numCache>
                <c:formatCode>0</c:formatCode>
                <c:ptCount val="2"/>
                <c:pt idx="0">
                  <c:v>0.0</c:v>
                </c:pt>
                <c:pt idx="1">
                  <c:v>0.0329691332095079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35323552"/>
        <c:axId val="1735033072"/>
      </c:barChart>
      <c:barChart>
        <c:barDir val="col"/>
        <c:grouping val="clustered"/>
        <c:varyColors val="0"/>
        <c:ser>
          <c:idx val="3"/>
          <c:order val="3"/>
          <c:tx>
            <c:v>System Size</c:v>
          </c:tx>
          <c:spPr>
            <a:solidFill>
              <a:schemeClr val="accent3">
                <a:alpha val="1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PJM_ESS_New!$C$39:$D$39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PJM_ESS_New!$C$43:$D$43</c:f>
              <c:numCache>
                <c:formatCode>0</c:formatCode>
                <c:ptCount val="2"/>
                <c:pt idx="0">
                  <c:v>0.00507724651426421</c:v>
                </c:pt>
                <c:pt idx="1">
                  <c:v>0.00501130824784519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695957152"/>
        <c:axId val="1735192656"/>
      </c:barChart>
      <c:catAx>
        <c:axId val="1735323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735033072"/>
        <c:crosses val="autoZero"/>
        <c:auto val="1"/>
        <c:lblAlgn val="ctr"/>
        <c:lblOffset val="100"/>
        <c:noMultiLvlLbl val="0"/>
      </c:catAx>
      <c:valAx>
        <c:axId val="1735033072"/>
        <c:scaling>
          <c:orientation val="minMax"/>
          <c:max val="75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USD/(a-MW consumption)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735323552"/>
        <c:crosses val="autoZero"/>
        <c:crossBetween val="between"/>
        <c:majorUnit val="250.0"/>
      </c:valAx>
      <c:valAx>
        <c:axId val="1735192656"/>
        <c:scaling>
          <c:orientation val="minMax"/>
          <c:max val="3.0"/>
          <c:min val="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(kW ESS)/(MW consumption)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95957152"/>
        <c:crosses val="max"/>
        <c:crossBetween val="between"/>
        <c:majorUnit val="1.0"/>
      </c:valAx>
      <c:catAx>
        <c:axId val="1695957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3519265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179703412073491"/>
          <c:y val="0.0792366579177603"/>
          <c:w val="0.660037620297463"/>
          <c:h val="0.092059638378536"/>
        </c:manualLayout>
      </c:layout>
      <c:overlay val="1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1417869641295"/>
          <c:y val="0.0261181102362205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</c:dPt>
          <c:cat>
            <c:strRef>
              <c:f>PJM_ESS_New!$A$30:$A$34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PJM_ESS_New!$D$30:$D$34</c:f>
              <c:numCache>
                <c:formatCode>0</c:formatCode>
                <c:ptCount val="5"/>
                <c:pt idx="0">
                  <c:v>266.938994748121</c:v>
                </c:pt>
                <c:pt idx="1">
                  <c:v>266.928978526844</c:v>
                </c:pt>
                <c:pt idx="2">
                  <c:v>266.928978526844</c:v>
                </c:pt>
                <c:pt idx="3">
                  <c:v>11.0854256913276</c:v>
                </c:pt>
                <c:pt idx="4">
                  <c:v>11.0854256913276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PJM_ESS_New!$A$30:$A$34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PJM_ESS_New!$E$30:$E$34</c:f>
              <c:numCache>
                <c:formatCode>0</c:formatCode>
                <c:ptCount val="5"/>
                <c:pt idx="1">
                  <c:v>0.0100162212769987</c:v>
                </c:pt>
                <c:pt idx="3">
                  <c:v>255.8435528355164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549752448"/>
        <c:axId val="2020525424"/>
      </c:barChart>
      <c:catAx>
        <c:axId val="1549752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2020525424"/>
        <c:crosses val="autoZero"/>
        <c:auto val="1"/>
        <c:lblAlgn val="ctr"/>
        <c:lblOffset val="100"/>
        <c:noMultiLvlLbl val="0"/>
      </c:catAx>
      <c:valAx>
        <c:axId val="2020525424"/>
        <c:scaling>
          <c:orientation val="minMax"/>
          <c:max val="400.0"/>
          <c:min val="-3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549752448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1417869641295"/>
          <c:y val="0.0261181102362205"/>
          <c:w val="0.6783043525809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PJM_ESS_New!$A$30:$A$34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PJM_ESS_New!$L$30:$L$34</c:f>
              <c:numCache>
                <c:formatCode>0</c:formatCode>
                <c:ptCount val="5"/>
                <c:pt idx="0">
                  <c:v>195.289750367884</c:v>
                </c:pt>
                <c:pt idx="1">
                  <c:v>175.889733248698</c:v>
                </c:pt>
                <c:pt idx="2">
                  <c:v>175.889733248698</c:v>
                </c:pt>
                <c:pt idx="3">
                  <c:v>-79.9538195868181</c:v>
                </c:pt>
                <c:pt idx="4">
                  <c:v>-79.9538195868181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PJM_ESS_New!$A$30:$A$34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PJM_ESS_New!$M$30:$M$34</c:f>
              <c:numCache>
                <c:formatCode>0</c:formatCode>
                <c:ptCount val="5"/>
                <c:pt idx="1">
                  <c:v>19.400017119186</c:v>
                </c:pt>
                <c:pt idx="3">
                  <c:v>175.889733248698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98952416"/>
        <c:axId val="1658501328"/>
      </c:barChart>
      <c:catAx>
        <c:axId val="1998952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58501328"/>
        <c:crosses val="autoZero"/>
        <c:auto val="1"/>
        <c:lblAlgn val="ctr"/>
        <c:lblOffset val="100"/>
        <c:noMultiLvlLbl val="0"/>
      </c:catAx>
      <c:valAx>
        <c:axId val="1658501328"/>
        <c:scaling>
          <c:orientation val="minMax"/>
          <c:max val="400.0"/>
          <c:min val="-300.0"/>
        </c:scaling>
        <c:delete val="0"/>
        <c:axPos val="l"/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9895241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PJM_ESS!$A$7</c:f>
              <c:strCache>
                <c:ptCount val="1"/>
                <c:pt idx="0">
                  <c:v>Revenue (mUSD)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PJM_ESS!$B$7:$K$7</c:f>
              <c:numCache>
                <c:formatCode>General</c:formatCode>
                <c:ptCount val="10"/>
                <c:pt idx="0">
                  <c:v>229.0</c:v>
                </c:pt>
                <c:pt idx="1">
                  <c:v>45.0</c:v>
                </c:pt>
                <c:pt idx="2">
                  <c:v>30.0</c:v>
                </c:pt>
                <c:pt idx="3">
                  <c:v>556.0</c:v>
                </c:pt>
                <c:pt idx="4">
                  <c:v>602.0</c:v>
                </c:pt>
                <c:pt idx="5">
                  <c:v>597.0</c:v>
                </c:pt>
              </c:numCache>
            </c:numRef>
          </c:val>
        </c:ser>
        <c:ser>
          <c:idx val="1"/>
          <c:order val="2"/>
          <c:tx>
            <c:strRef>
              <c:f>PJM_ESS!$A$8</c:f>
              <c:strCache>
                <c:ptCount val="1"/>
                <c:pt idx="0">
                  <c:v>Operating Profit (mUSD)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PJM_ESS!$B$8:$K$8</c:f>
              <c:numCache>
                <c:formatCode>General</c:formatCode>
                <c:ptCount val="10"/>
                <c:pt idx="0">
                  <c:v>79.0</c:v>
                </c:pt>
                <c:pt idx="1">
                  <c:v>45.0</c:v>
                </c:pt>
                <c:pt idx="2">
                  <c:v>30.0</c:v>
                </c:pt>
                <c:pt idx="3">
                  <c:v>245.0</c:v>
                </c:pt>
                <c:pt idx="4">
                  <c:v>291.0</c:v>
                </c:pt>
                <c:pt idx="5">
                  <c:v>288.0</c:v>
                </c:pt>
              </c:numCache>
            </c:numRef>
          </c:val>
        </c:ser>
        <c:ser>
          <c:idx val="2"/>
          <c:order val="3"/>
          <c:tx>
            <c:strRef>
              <c:f>PJM_ESS!$A$9</c:f>
              <c:strCache>
                <c:ptCount val="1"/>
                <c:pt idx="0">
                  <c:v>Profit (mUSD)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PJM_ESS!$B$9:$K$9</c:f>
              <c:numCache>
                <c:formatCode>General</c:formatCode>
                <c:ptCount val="10"/>
                <c:pt idx="0">
                  <c:v>-11561.0</c:v>
                </c:pt>
                <c:pt idx="1">
                  <c:v>0.0</c:v>
                </c:pt>
                <c:pt idx="2">
                  <c:v>-164.0</c:v>
                </c:pt>
                <c:pt idx="3">
                  <c:v>-19155.0</c:v>
                </c:pt>
                <c:pt idx="4">
                  <c:v>-19109.0</c:v>
                </c:pt>
                <c:pt idx="5">
                  <c:v>-19112.0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60070880"/>
        <c:axId val="1577550704"/>
      </c:barChart>
      <c:barChart>
        <c:barDir val="col"/>
        <c:grouping val="clustered"/>
        <c:varyColors val="0"/>
        <c:ser>
          <c:idx val="3"/>
          <c:order val="0"/>
          <c:tx>
            <c:strRef>
              <c:f>PJM_ESS!$A$10</c:f>
              <c:strCache>
                <c:ptCount val="1"/>
                <c:pt idx="0">
                  <c:v>System Size (MW)</c:v>
                </c:pt>
              </c:strCache>
            </c:strRef>
          </c:tx>
          <c:spPr>
            <a:solidFill>
              <a:schemeClr val="tx2">
                <a:alpha val="15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PJM_ESS!$B$10:$K$10</c:f>
              <c:numCache>
                <c:formatCode>General</c:formatCode>
                <c:ptCount val="10"/>
                <c:pt idx="0">
                  <c:v>45497.0</c:v>
                </c:pt>
                <c:pt idx="1">
                  <c:v>154.0</c:v>
                </c:pt>
                <c:pt idx="2">
                  <c:v>758.0</c:v>
                </c:pt>
                <c:pt idx="3">
                  <c:v>75829.0</c:v>
                </c:pt>
                <c:pt idx="4">
                  <c:v>75829.0</c:v>
                </c:pt>
                <c:pt idx="5">
                  <c:v>75829.0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546417072"/>
        <c:axId val="1660794576"/>
      </c:barChart>
      <c:catAx>
        <c:axId val="16600708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577550704"/>
        <c:crosses val="autoZero"/>
        <c:auto val="1"/>
        <c:lblAlgn val="ctr"/>
        <c:lblOffset val="100"/>
        <c:noMultiLvlLbl val="0"/>
      </c:catAx>
      <c:valAx>
        <c:axId val="1577550704"/>
        <c:scaling>
          <c:orientation val="minMax"/>
          <c:max val="800.0"/>
          <c:min val="-200.0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0070880"/>
        <c:crosses val="autoZero"/>
        <c:crossBetween val="between"/>
      </c:valAx>
      <c:valAx>
        <c:axId val="1660794576"/>
        <c:scaling>
          <c:orientation val="minMax"/>
          <c:max val="160000.0"/>
          <c:min val="-40000.0"/>
        </c:scaling>
        <c:delete val="0"/>
        <c:axPos val="r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417072"/>
        <c:crosses val="max"/>
        <c:crossBetween val="between"/>
      </c:valAx>
      <c:catAx>
        <c:axId val="1546417072"/>
        <c:scaling>
          <c:orientation val="minMax"/>
        </c:scaling>
        <c:delete val="1"/>
        <c:axPos val="b"/>
        <c:majorTickMark val="out"/>
        <c:minorTickMark val="none"/>
        <c:tickLblPos val="nextTo"/>
        <c:crossAx val="166079457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PJM_ESS!$B$7:$G$7</c:f>
              <c:numCache>
                <c:formatCode>General</c:formatCode>
                <c:ptCount val="6"/>
                <c:pt idx="0">
                  <c:v>229.0</c:v>
                </c:pt>
                <c:pt idx="1">
                  <c:v>45.0</c:v>
                </c:pt>
                <c:pt idx="2">
                  <c:v>30.0</c:v>
                </c:pt>
                <c:pt idx="3">
                  <c:v>556.0</c:v>
                </c:pt>
                <c:pt idx="4">
                  <c:v>602.0</c:v>
                </c:pt>
                <c:pt idx="5">
                  <c:v>597.0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.00231481481481477"/>
                  <c:y val="0.034722222222222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PJM_ESS!$B$8:$G$8</c:f>
              <c:numCache>
                <c:formatCode>General</c:formatCode>
                <c:ptCount val="6"/>
                <c:pt idx="0">
                  <c:v>79.0</c:v>
                </c:pt>
                <c:pt idx="1">
                  <c:v>45.0</c:v>
                </c:pt>
                <c:pt idx="2">
                  <c:v>30.0</c:v>
                </c:pt>
                <c:pt idx="3">
                  <c:v>245.0</c:v>
                </c:pt>
                <c:pt idx="4">
                  <c:v>291.0</c:v>
                </c:pt>
                <c:pt idx="5">
                  <c:v>288.0</c:v>
                </c:pt>
              </c:numCache>
            </c:numRef>
          </c:val>
        </c:ser>
        <c:ser>
          <c:idx val="2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1"/>
              <c:numFmt formatCode="#\ 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Helvetica" charset="0"/>
                      <a:ea typeface="Helvetica" charset="0"/>
                      <a:cs typeface="Helvetica" charset="0"/>
                    </a:defRPr>
                  </a:pPr>
                  <a:endParaRPr lang="en-US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\ ##0" sourceLinked="0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PJM_ESS!$B$9:$G$9</c:f>
              <c:numCache>
                <c:formatCode>General</c:formatCode>
                <c:ptCount val="6"/>
                <c:pt idx="0">
                  <c:v>-11561.0</c:v>
                </c:pt>
                <c:pt idx="1">
                  <c:v>0.0</c:v>
                </c:pt>
                <c:pt idx="2">
                  <c:v>-164.0</c:v>
                </c:pt>
                <c:pt idx="3">
                  <c:v>-19155.0</c:v>
                </c:pt>
                <c:pt idx="4">
                  <c:v>-19109.0</c:v>
                </c:pt>
                <c:pt idx="5">
                  <c:v>-19112.0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28023440"/>
        <c:axId val="1545397824"/>
      </c:barChart>
      <c:barChart>
        <c:barDir val="col"/>
        <c:grouping val="clustered"/>
        <c:varyColors val="0"/>
        <c:ser>
          <c:idx val="3"/>
          <c:order val="3"/>
          <c:spPr>
            <a:solidFill>
              <a:schemeClr val="tx1">
                <a:lumMod val="50000"/>
                <a:lumOff val="50000"/>
                <a:alpha val="5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PJM_ESS!$B$10:$G$10</c:f>
              <c:numCache>
                <c:formatCode>General</c:formatCode>
                <c:ptCount val="6"/>
                <c:pt idx="0">
                  <c:v>45497.0</c:v>
                </c:pt>
                <c:pt idx="1">
                  <c:v>154.0</c:v>
                </c:pt>
                <c:pt idx="2">
                  <c:v>758.0</c:v>
                </c:pt>
                <c:pt idx="3">
                  <c:v>75829.0</c:v>
                </c:pt>
                <c:pt idx="4">
                  <c:v>75829.0</c:v>
                </c:pt>
                <c:pt idx="5">
                  <c:v>75829.0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100"/>
        <c:axId val="1987086320"/>
        <c:axId val="1534650720"/>
      </c:barChart>
      <c:catAx>
        <c:axId val="1928023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545397824"/>
        <c:crosses val="autoZero"/>
        <c:auto val="1"/>
        <c:lblAlgn val="ctr"/>
        <c:lblOffset val="100"/>
        <c:noMultiLvlLbl val="0"/>
      </c:catAx>
      <c:valAx>
        <c:axId val="1545397824"/>
        <c:scaling>
          <c:orientation val="minMax"/>
          <c:max val="800.0"/>
          <c:min val="-2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Income (mUSD)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28023440"/>
        <c:crosses val="autoZero"/>
        <c:crossBetween val="between"/>
        <c:majorUnit val="200.0"/>
      </c:valAx>
      <c:valAx>
        <c:axId val="1534650720"/>
        <c:scaling>
          <c:orientation val="minMax"/>
          <c:max val="80000.0"/>
          <c:min val="-2000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System Size (MW)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#\ ##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87086320"/>
        <c:crosses val="max"/>
        <c:crossBetween val="between"/>
        <c:majorUnit val="20000.0"/>
      </c:valAx>
      <c:catAx>
        <c:axId val="1987086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4650720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PJM_ESS!$A$7</c:f>
              <c:strCache>
                <c:ptCount val="1"/>
                <c:pt idx="0">
                  <c:v>Revenue (mUSD)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PJM_ESS!$B$7:$G$7</c:f>
              <c:numCache>
                <c:formatCode>General</c:formatCode>
                <c:ptCount val="6"/>
                <c:pt idx="0">
                  <c:v>229.0</c:v>
                </c:pt>
                <c:pt idx="1">
                  <c:v>45.0</c:v>
                </c:pt>
                <c:pt idx="2">
                  <c:v>30.0</c:v>
                </c:pt>
                <c:pt idx="3">
                  <c:v>556.0</c:v>
                </c:pt>
                <c:pt idx="4">
                  <c:v>602.0</c:v>
                </c:pt>
                <c:pt idx="5">
                  <c:v>597.0</c:v>
                </c:pt>
              </c:numCache>
            </c:numRef>
          </c:val>
        </c:ser>
        <c:ser>
          <c:idx val="1"/>
          <c:order val="1"/>
          <c:tx>
            <c:strRef>
              <c:f>PJM_ESS!$A$8</c:f>
              <c:strCache>
                <c:ptCount val="1"/>
                <c:pt idx="0">
                  <c:v>Operating Profit (mUSD)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PJM_ESS!$B$8:$G$8</c:f>
              <c:numCache>
                <c:formatCode>General</c:formatCode>
                <c:ptCount val="6"/>
                <c:pt idx="0">
                  <c:v>79.0</c:v>
                </c:pt>
                <c:pt idx="1">
                  <c:v>45.0</c:v>
                </c:pt>
                <c:pt idx="2">
                  <c:v>30.0</c:v>
                </c:pt>
                <c:pt idx="3">
                  <c:v>245.0</c:v>
                </c:pt>
                <c:pt idx="4">
                  <c:v>291.0</c:v>
                </c:pt>
                <c:pt idx="5">
                  <c:v>288.0</c:v>
                </c:pt>
              </c:numCache>
            </c:numRef>
          </c:val>
        </c:ser>
        <c:ser>
          <c:idx val="2"/>
          <c:order val="2"/>
          <c:tx>
            <c:strRef>
              <c:f>PJM_ESS!$A$9</c:f>
              <c:strCache>
                <c:ptCount val="1"/>
                <c:pt idx="0">
                  <c:v>Profit (mUSD)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\ 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PJM_ESS!$B$9:$G$9</c:f>
              <c:numCache>
                <c:formatCode>General</c:formatCode>
                <c:ptCount val="6"/>
                <c:pt idx="0">
                  <c:v>-11561.0</c:v>
                </c:pt>
                <c:pt idx="1">
                  <c:v>0.0</c:v>
                </c:pt>
                <c:pt idx="2">
                  <c:v>-164.0</c:v>
                </c:pt>
                <c:pt idx="3">
                  <c:v>-19155.0</c:v>
                </c:pt>
                <c:pt idx="4">
                  <c:v>-19109.0</c:v>
                </c:pt>
                <c:pt idx="5">
                  <c:v>-19112.0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97854352"/>
        <c:axId val="2041531632"/>
      </c:barChart>
      <c:barChart>
        <c:barDir val="col"/>
        <c:grouping val="clustered"/>
        <c:varyColors val="0"/>
        <c:ser>
          <c:idx val="3"/>
          <c:order val="3"/>
          <c:tx>
            <c:strRef>
              <c:f>PJM_ESS!$A$10</c:f>
              <c:strCache>
                <c:ptCount val="1"/>
                <c:pt idx="0">
                  <c:v>System Size (MW)</c:v>
                </c:pt>
              </c:strCache>
            </c:strRef>
          </c:tx>
          <c:spPr>
            <a:solidFill>
              <a:schemeClr val="tx1">
                <a:lumMod val="50000"/>
                <a:lumOff val="50000"/>
                <a:alpha val="10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PJM_ESS!$B$10:$G$10</c:f>
              <c:numCache>
                <c:formatCode>General</c:formatCode>
                <c:ptCount val="6"/>
                <c:pt idx="0">
                  <c:v>45497.0</c:v>
                </c:pt>
                <c:pt idx="1">
                  <c:v>154.0</c:v>
                </c:pt>
                <c:pt idx="2">
                  <c:v>758.0</c:v>
                </c:pt>
                <c:pt idx="3">
                  <c:v>75829.0</c:v>
                </c:pt>
                <c:pt idx="4">
                  <c:v>75829.0</c:v>
                </c:pt>
                <c:pt idx="5">
                  <c:v>75829.0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100"/>
        <c:axId val="1573195312"/>
        <c:axId val="1987700720"/>
      </c:barChart>
      <c:catAx>
        <c:axId val="199785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1531632"/>
        <c:crosses val="autoZero"/>
        <c:auto val="1"/>
        <c:lblAlgn val="ctr"/>
        <c:lblOffset val="100"/>
        <c:noMultiLvlLbl val="0"/>
      </c:catAx>
      <c:valAx>
        <c:axId val="2041531632"/>
        <c:scaling>
          <c:orientation val="minMax"/>
          <c:min val="-100.0"/>
        </c:scaling>
        <c:delete val="0"/>
        <c:axPos val="l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7854352"/>
        <c:crosses val="autoZero"/>
        <c:crossBetween val="between"/>
      </c:valAx>
      <c:valAx>
        <c:axId val="1987700720"/>
        <c:scaling>
          <c:orientation val="minMax"/>
          <c:min val="-30000.0"/>
        </c:scaling>
        <c:delete val="0"/>
        <c:axPos val="r"/>
        <c:numFmt formatCode="#\ ##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195312"/>
        <c:crosses val="max"/>
        <c:crossBetween val="between"/>
        <c:majorUnit val="30000.0"/>
      </c:valAx>
      <c:catAx>
        <c:axId val="1573195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87700720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447251385244"/>
          <c:y val="0.0902777777777778"/>
          <c:w val="0.719540682414698"/>
          <c:h val="0.74563648293963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0.00231481481481486"/>
                  <c:y val="0.223380905511811"/>
                </c:manualLayout>
              </c:layout>
              <c:spPr>
                <a:solidFill>
                  <a:schemeClr val="bg1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Helvetica" charset="0"/>
                      <a:ea typeface="Helvetica" charset="0"/>
                      <a:cs typeface="Helvetica" charset="0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0.0"/>
                  <c:y val="0.280034448818898"/>
                </c:manualLayout>
              </c:layout>
              <c:spPr>
                <a:solidFill>
                  <a:schemeClr val="bg1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Helvetica" charset="0"/>
                      <a:ea typeface="Helvetica" charset="0"/>
                      <a:cs typeface="Helvetica" charset="0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PJM_ESS!$B$11:$G$11</c:f>
              <c:numCache>
                <c:formatCode>General</c:formatCode>
                <c:ptCount val="6"/>
                <c:pt idx="0">
                  <c:v>0.0</c:v>
                </c:pt>
                <c:pt idx="1">
                  <c:v>45.0</c:v>
                </c:pt>
                <c:pt idx="2">
                  <c:v>0.0</c:v>
                </c:pt>
                <c:pt idx="3">
                  <c:v>0.0</c:v>
                </c:pt>
                <c:pt idx="4">
                  <c:v>53.0</c:v>
                </c:pt>
                <c:pt idx="5">
                  <c:v>0.0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spPr>
                <a:solidFill>
                  <a:schemeClr val="bg1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Helvetica" charset="0"/>
                      <a:ea typeface="Helvetica" charset="0"/>
                      <a:cs typeface="Helvetica" charset="0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spPr>
                <a:solidFill>
                  <a:schemeClr val="bg1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Helvetica" charset="0"/>
                      <a:ea typeface="Helvetica" charset="0"/>
                      <a:cs typeface="Helvetica" charset="0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PJM_ESS!$B$12:$G$12</c:f>
              <c:numCache>
                <c:formatCode>General</c:formatCode>
                <c:ptCount val="6"/>
                <c:pt idx="0">
                  <c:v>0.0</c:v>
                </c:pt>
                <c:pt idx="1">
                  <c:v>45.0</c:v>
                </c:pt>
                <c:pt idx="2">
                  <c:v>0.0</c:v>
                </c:pt>
                <c:pt idx="3">
                  <c:v>0.0</c:v>
                </c:pt>
                <c:pt idx="4">
                  <c:v>50.0</c:v>
                </c:pt>
                <c:pt idx="5">
                  <c:v>0.0</c:v>
                </c:pt>
              </c:numCache>
            </c:numRef>
          </c:val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\ 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PJM_ESS!$B$13:$G$13</c:f>
              <c:numCache>
                <c:formatCode>General</c:formatCode>
                <c:ptCount val="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54325936"/>
        <c:axId val="1533660896"/>
      </c:barChart>
      <c:barChart>
        <c:barDir val="col"/>
        <c:grouping val="clustered"/>
        <c:varyColors val="0"/>
        <c:ser>
          <c:idx val="3"/>
          <c:order val="3"/>
          <c:spPr>
            <a:solidFill>
              <a:schemeClr val="tx1">
                <a:lumMod val="50000"/>
                <a:lumOff val="50000"/>
                <a:alpha val="5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PJM_ESS!$B$14:$G$14</c:f>
              <c:numCache>
                <c:formatCode>General</c:formatCode>
                <c:ptCount val="6"/>
                <c:pt idx="0">
                  <c:v>0.0</c:v>
                </c:pt>
                <c:pt idx="1">
                  <c:v>154.0</c:v>
                </c:pt>
                <c:pt idx="2">
                  <c:v>0.0</c:v>
                </c:pt>
                <c:pt idx="3">
                  <c:v>0.0</c:v>
                </c:pt>
                <c:pt idx="4">
                  <c:v>162.0</c:v>
                </c:pt>
                <c:pt idx="5">
                  <c:v>0.0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100"/>
        <c:axId val="1547701504"/>
        <c:axId val="1996842704"/>
      </c:barChart>
      <c:catAx>
        <c:axId val="1654325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533660896"/>
        <c:crosses val="autoZero"/>
        <c:auto val="1"/>
        <c:lblAlgn val="ctr"/>
        <c:lblOffset val="100"/>
        <c:noMultiLvlLbl val="0"/>
      </c:catAx>
      <c:valAx>
        <c:axId val="15336608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Income (mUSD)</a:t>
                </a:r>
              </a:p>
            </c:rich>
          </c:tx>
          <c:layout>
            <c:manualLayout>
              <c:xMode val="edge"/>
              <c:yMode val="edge"/>
              <c:x val="0.0208333333333333"/>
              <c:y val="0.2003526902887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54325936"/>
        <c:crosses val="autoZero"/>
        <c:crossBetween val="between"/>
        <c:majorUnit val="20.0"/>
      </c:valAx>
      <c:valAx>
        <c:axId val="1996842704"/>
        <c:scaling>
          <c:orientation val="minMax"/>
          <c:min val="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System Size (MW)</a:t>
                </a:r>
              </a:p>
            </c:rich>
          </c:tx>
          <c:layout>
            <c:manualLayout>
              <c:xMode val="edge"/>
              <c:yMode val="edge"/>
              <c:x val="0.93517351997667"/>
              <c:y val="0.161776574803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#\ ##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547701504"/>
        <c:crosses val="max"/>
        <c:crossBetween val="between"/>
      </c:valAx>
      <c:catAx>
        <c:axId val="15477015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9684270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447251385244"/>
          <c:y val="0.0902777777777778"/>
          <c:w val="0.719540682414698"/>
          <c:h val="0.74563648293963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1"/>
              <c:spPr>
                <a:solidFill>
                  <a:schemeClr val="bg1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Helvetica" charset="0"/>
                      <a:ea typeface="Helvetica" charset="0"/>
                      <a:cs typeface="Helvetica" charset="0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spPr>
                <a:solidFill>
                  <a:schemeClr val="bg1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Helvetica" charset="0"/>
                      <a:ea typeface="Helvetica" charset="0"/>
                      <a:cs typeface="Helvetica" charset="0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PJM_ESS!$B$15:$G$15</c:f>
              <c:numCache>
                <c:formatCode>General</c:formatCode>
                <c:ptCount val="6"/>
                <c:pt idx="0">
                  <c:v>0.0</c:v>
                </c:pt>
                <c:pt idx="1">
                  <c:v>39.0</c:v>
                </c:pt>
                <c:pt idx="2">
                  <c:v>0.0</c:v>
                </c:pt>
                <c:pt idx="3">
                  <c:v>0.0</c:v>
                </c:pt>
                <c:pt idx="4">
                  <c:v>42.0</c:v>
                </c:pt>
                <c:pt idx="5">
                  <c:v>0.0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spPr>
                <a:solidFill>
                  <a:schemeClr val="bg1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Helvetica" charset="0"/>
                      <a:ea typeface="Helvetica" charset="0"/>
                      <a:cs typeface="Helvetica" charset="0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spPr>
                <a:solidFill>
                  <a:schemeClr val="bg1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Helvetica" charset="0"/>
                      <a:ea typeface="Helvetica" charset="0"/>
                      <a:cs typeface="Helvetica" charset="0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PJM_ESS!$B$16:$G$16</c:f>
              <c:numCache>
                <c:formatCode>General</c:formatCode>
                <c:ptCount val="6"/>
                <c:pt idx="0">
                  <c:v>0.0</c:v>
                </c:pt>
                <c:pt idx="1">
                  <c:v>39.0</c:v>
                </c:pt>
                <c:pt idx="2">
                  <c:v>0.0</c:v>
                </c:pt>
                <c:pt idx="3">
                  <c:v>0.0</c:v>
                </c:pt>
                <c:pt idx="4">
                  <c:v>41.0</c:v>
                </c:pt>
                <c:pt idx="5">
                  <c:v>0.0</c:v>
                </c:pt>
              </c:numCache>
            </c:numRef>
          </c:val>
        </c:ser>
        <c:ser>
          <c:idx val="2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\ 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PJM_ESS!$B$17:$G$17</c:f>
              <c:numCache>
                <c:formatCode>General</c:formatCode>
                <c:ptCount val="6"/>
                <c:pt idx="0">
                  <c:v>0.0</c:v>
                </c:pt>
                <c:pt idx="1">
                  <c:v>1.0</c:v>
                </c:pt>
                <c:pt idx="2">
                  <c:v>0.0</c:v>
                </c:pt>
                <c:pt idx="3">
                  <c:v>0.0</c:v>
                </c:pt>
                <c:pt idx="4">
                  <c:v>2.0</c:v>
                </c:pt>
                <c:pt idx="5">
                  <c:v>0.0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91279264"/>
        <c:axId val="1695624368"/>
      </c:barChart>
      <c:barChart>
        <c:barDir val="col"/>
        <c:grouping val="clustered"/>
        <c:varyColors val="0"/>
        <c:ser>
          <c:idx val="3"/>
          <c:order val="3"/>
          <c:spPr>
            <a:solidFill>
              <a:schemeClr val="tx1">
                <a:lumMod val="50000"/>
                <a:lumOff val="50000"/>
                <a:alpha val="5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PJM_ESS!$B$18:$G$18</c:f>
              <c:numCache>
                <c:formatCode>General</c:formatCode>
                <c:ptCount val="6"/>
                <c:pt idx="0">
                  <c:v>0.0</c:v>
                </c:pt>
                <c:pt idx="1">
                  <c:v>152.0</c:v>
                </c:pt>
                <c:pt idx="2">
                  <c:v>0.0</c:v>
                </c:pt>
                <c:pt idx="3">
                  <c:v>0.0</c:v>
                </c:pt>
                <c:pt idx="4">
                  <c:v>152.0</c:v>
                </c:pt>
                <c:pt idx="5">
                  <c:v>0.0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100"/>
        <c:axId val="1572267088"/>
        <c:axId val="1572275680"/>
      </c:barChart>
      <c:catAx>
        <c:axId val="1691279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95624368"/>
        <c:crosses val="autoZero"/>
        <c:auto val="1"/>
        <c:lblAlgn val="ctr"/>
        <c:lblOffset val="100"/>
        <c:noMultiLvlLbl val="0"/>
      </c:catAx>
      <c:valAx>
        <c:axId val="1695624368"/>
        <c:scaling>
          <c:orientation val="minMax"/>
          <c:max val="6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Income (mUSD)</a:t>
                </a:r>
              </a:p>
            </c:rich>
          </c:tx>
          <c:layout>
            <c:manualLayout>
              <c:xMode val="edge"/>
              <c:yMode val="edge"/>
              <c:x val="0.0208333333333333"/>
              <c:y val="0.2003526902887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91279264"/>
        <c:crosses val="autoZero"/>
        <c:crossBetween val="between"/>
        <c:majorUnit val="20.0"/>
      </c:valAx>
      <c:valAx>
        <c:axId val="1572275680"/>
        <c:scaling>
          <c:orientation val="minMax"/>
          <c:max val="200.0"/>
          <c:min val="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System Size (MW)</a:t>
                </a:r>
              </a:p>
            </c:rich>
          </c:tx>
          <c:layout>
            <c:manualLayout>
              <c:xMode val="edge"/>
              <c:yMode val="edge"/>
              <c:x val="0.93517351997667"/>
              <c:y val="0.161776574803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#\ ##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572267088"/>
        <c:crosses val="max"/>
        <c:crossBetween val="between"/>
      </c:valAx>
      <c:catAx>
        <c:axId val="1572267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72275680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447251385244"/>
          <c:y val="0.0902777777777778"/>
          <c:w val="0.719540682414698"/>
          <c:h val="0.74563648293963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0"/>
                  <c:y val="-0.0763888888888889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8.48755627201341E-17"/>
                  <c:y val="-0.10416666666666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PJM_ESS!$B$19:$G$19</c:f>
              <c:numCache>
                <c:formatCode>General</c:formatCode>
                <c:ptCount val="6"/>
                <c:pt idx="0">
                  <c:v>0.0158609134033256</c:v>
                </c:pt>
                <c:pt idx="1">
                  <c:v>0.266938994748121</c:v>
                </c:pt>
                <c:pt idx="2">
                  <c:v>0.121577484703552</c:v>
                </c:pt>
                <c:pt idx="3">
                  <c:v>0.0343247154369701</c:v>
                </c:pt>
                <c:pt idx="4">
                  <c:v>0.281357194650528</c:v>
                </c:pt>
                <c:pt idx="5">
                  <c:v>0.195289750367884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Helvetica" charset="0"/>
                      <a:ea typeface="Helvetica" charset="0"/>
                      <a:cs typeface="Helvetica" charset="0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.00" sourceLinked="0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PJM_ESS!$B$20:$G$20</c:f>
              <c:numCache>
                <c:formatCode>General</c:formatCode>
                <c:ptCount val="6"/>
                <c:pt idx="0">
                  <c:v>0.00590011965332556</c:v>
                </c:pt>
                <c:pt idx="1">
                  <c:v>0.266928978526844</c:v>
                </c:pt>
                <c:pt idx="2">
                  <c:v>0.121563396835328</c:v>
                </c:pt>
                <c:pt idx="3">
                  <c:v>0.0168889477286368</c:v>
                </c:pt>
                <c:pt idx="4">
                  <c:v>0.276337192218824</c:v>
                </c:pt>
                <c:pt idx="5">
                  <c:v>0.175889733248698</c:v>
                </c:pt>
              </c:numCache>
            </c:numRef>
          </c:val>
        </c:ser>
        <c:ser>
          <c:idx val="2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Helvetica" charset="0"/>
                      <a:ea typeface="Helvetica" charset="0"/>
                      <a:cs typeface="Helvetica" charset="0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.00" sourceLinked="0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PJM_ESS!$B$21:$G$21</c:f>
              <c:numCache>
                <c:formatCode>General</c:formatCode>
                <c:ptCount val="6"/>
                <c:pt idx="0">
                  <c:v>-0.249943433182191</c:v>
                </c:pt>
                <c:pt idx="1">
                  <c:v>0.0110854256913276</c:v>
                </c:pt>
                <c:pt idx="2">
                  <c:v>-0.134280156000188</c:v>
                </c:pt>
                <c:pt idx="3">
                  <c:v>-0.238954605106879</c:v>
                </c:pt>
                <c:pt idx="4">
                  <c:v>0.0204936393833074</c:v>
                </c:pt>
                <c:pt idx="5">
                  <c:v>-0.0799538195868181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83238368"/>
        <c:axId val="2055323632"/>
      </c:barChart>
      <c:barChart>
        <c:barDir val="col"/>
        <c:grouping val="clustered"/>
        <c:varyColors val="0"/>
        <c:ser>
          <c:idx val="3"/>
          <c:order val="3"/>
          <c:spPr>
            <a:solidFill>
              <a:schemeClr val="tx1">
                <a:lumMod val="50000"/>
                <a:lumOff val="50000"/>
                <a:alpha val="5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strRef>
              <c:f>PJM_ESS!$B$6:$G$6</c:f>
              <c:strCache>
                <c:ptCount val="6"/>
                <c:pt idx="0">
                  <c:v>DA</c:v>
                </c:pt>
                <c:pt idx="1">
                  <c:v>RegD</c:v>
                </c:pt>
                <c:pt idx="2">
                  <c:v>RegA</c:v>
                </c:pt>
                <c:pt idx="3">
                  <c:v>DA+RT</c:v>
                </c:pt>
                <c:pt idx="4">
                  <c:v>DA+RT+RegD</c:v>
                </c:pt>
                <c:pt idx="5">
                  <c:v>DA+RT+RegA</c:v>
                </c:pt>
              </c:strCache>
            </c:strRef>
          </c:cat>
          <c:val>
            <c:numRef>
              <c:f>PJM_ESS!$B$22:$G$22</c:f>
              <c:numCache>
                <c:formatCode>General</c:formatCode>
                <c:ptCount val="6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100"/>
        <c:axId val="2055877872"/>
        <c:axId val="1641216000"/>
      </c:barChart>
      <c:catAx>
        <c:axId val="198323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2055323632"/>
        <c:crosses val="autoZero"/>
        <c:auto val="1"/>
        <c:lblAlgn val="ctr"/>
        <c:lblOffset val="100"/>
        <c:noMultiLvlLbl val="0"/>
      </c:catAx>
      <c:valAx>
        <c:axId val="2055323632"/>
        <c:scaling>
          <c:orientation val="minMax"/>
          <c:max val="0.4"/>
          <c:min val="-0.3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Income (mUSD)</a:t>
                </a:r>
              </a:p>
            </c:rich>
          </c:tx>
          <c:layout>
            <c:manualLayout>
              <c:xMode val="edge"/>
              <c:yMode val="edge"/>
              <c:x val="0.0208333333333333"/>
              <c:y val="0.2003526902887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83238368"/>
        <c:crosses val="autoZero"/>
        <c:crossBetween val="between"/>
        <c:majorUnit val="0.2"/>
      </c:valAx>
      <c:valAx>
        <c:axId val="1641216000"/>
        <c:scaling>
          <c:orientation val="minMax"/>
          <c:max val="1.2"/>
          <c:min val="-0.9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System Size (MW)</a:t>
                </a:r>
              </a:p>
            </c:rich>
          </c:tx>
          <c:layout>
            <c:manualLayout>
              <c:xMode val="edge"/>
              <c:yMode val="edge"/>
              <c:x val="0.93517351997667"/>
              <c:y val="0.161776574803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#\ ##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2055877872"/>
        <c:crosses val="max"/>
        <c:crossBetween val="between"/>
        <c:majorUnit val="1.9"/>
      </c:valAx>
      <c:catAx>
        <c:axId val="20558778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41216000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Revenue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00277777777777778"/>
                  <c:y val="0.10557888597258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chemeClr val="bg1"/>
              </a:solidFill>
              <a:ln>
                <a:solidFill>
                  <a:srgbClr val="00B0F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NSW_ESS_new!$B$6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NSW_ESS_new!$B$25</c:f>
              <c:numCache>
                <c:formatCode>_ * #\ ##0_ ;_ * \-#\ ##0_ ;_ * "-"??_ ;_ @_ </c:formatCode>
                <c:ptCount val="1"/>
                <c:pt idx="0">
                  <c:v>109300.5765856104</c:v>
                </c:pt>
              </c:numCache>
            </c:numRef>
          </c:val>
        </c:ser>
        <c:ser>
          <c:idx val="1"/>
          <c:order val="1"/>
          <c:tx>
            <c:v>Operating profit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NSW_ESS_new!$B$6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NSW_ESS_new!$B$26</c:f>
              <c:numCache>
                <c:formatCode>_ * #\ ##0_ ;_ * \-#\ ##0_ ;_ * "-"??_ ;_ @_ </c:formatCode>
                <c:ptCount val="1"/>
                <c:pt idx="0">
                  <c:v>74454.75056405113</c:v>
                </c:pt>
              </c:numCache>
            </c:numRef>
          </c:val>
        </c:ser>
        <c:ser>
          <c:idx val="2"/>
          <c:order val="2"/>
          <c:tx>
            <c:v>Profit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solidFill>
                  <a:srgbClr val="C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NSW_ESS_new!$B$6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NSW_ESS_new!$B$27</c:f>
              <c:numCache>
                <c:formatCode>_ * #\ ##0_ ;_ * \-#\ ##0_ ;_ * "-"??_ ;_ @_ </c:formatCode>
                <c:ptCount val="1"/>
                <c:pt idx="0">
                  <c:v>-1.00438706442717E6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2372688"/>
        <c:axId val="1691044576"/>
      </c:barChart>
      <c:catAx>
        <c:axId val="1572372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91044576"/>
        <c:crosses val="autoZero"/>
        <c:auto val="1"/>
        <c:lblAlgn val="ctr"/>
        <c:lblOffset val="100"/>
        <c:noMultiLvlLbl val="0"/>
      </c:catAx>
      <c:valAx>
        <c:axId val="1691044576"/>
        <c:scaling>
          <c:orientation val="minMax"/>
          <c:max val="150000.0"/>
          <c:min val="-500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 sz="1100"/>
                  <a:t>USD/(a-MW consumption)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_ * #\ ##0_ ;_ * \-#\ ##0_ ;_ * &quot;-&quot;??_ ;_ @_ 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572372688"/>
        <c:crosses val="autoZero"/>
        <c:crossBetween val="between"/>
        <c:majorUnit val="50000.0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layout>
        <c:manualLayout>
          <c:xMode val="edge"/>
          <c:yMode val="edge"/>
          <c:x val="0.456841207349081"/>
          <c:y val="0.0694444444444444"/>
          <c:w val="0.497428477690289"/>
          <c:h val="0.0865598571011957"/>
        </c:manualLayout>
      </c:layout>
      <c:overlay val="1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50"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073490813648"/>
          <c:y val="0.0175069991251094"/>
          <c:w val="0.862798118985127"/>
          <c:h val="0.88941666666666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NSW_ESS_new!$A$30:$A$34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NSW_ESS_new!$B$30:$B$34</c:f>
              <c:numCache>
                <c:formatCode>0</c:formatCode>
                <c:ptCount val="5"/>
                <c:pt idx="0">
                  <c:v>82.85714285714285</c:v>
                </c:pt>
                <c:pt idx="1">
                  <c:v>56.8452380952381</c:v>
                </c:pt>
                <c:pt idx="2">
                  <c:v>56.8452380952381</c:v>
                </c:pt>
                <c:pt idx="3">
                  <c:v>-199.3154761904762</c:v>
                </c:pt>
                <c:pt idx="4">
                  <c:v>-199.3154761904762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strRef>
              <c:f>NSW_ESS_new!$A$30:$A$34</c:f>
              <c:strCache>
                <c:ptCount val="5"/>
                <c:pt idx="0">
                  <c:v>Revenue</c:v>
                </c:pt>
                <c:pt idx="1">
                  <c:v>Operating Cost</c:v>
                </c:pt>
                <c:pt idx="2">
                  <c:v>Operating Profit</c:v>
                </c:pt>
                <c:pt idx="3">
                  <c:v>Fixed Cost</c:v>
                </c:pt>
                <c:pt idx="4">
                  <c:v>Profit</c:v>
                </c:pt>
              </c:strCache>
            </c:strRef>
          </c:cat>
          <c:val>
            <c:numRef>
              <c:f>NSW_ESS_new!$C$30:$C$34</c:f>
              <c:numCache>
                <c:formatCode>0</c:formatCode>
                <c:ptCount val="5"/>
                <c:pt idx="1">
                  <c:v>26.01190476190474</c:v>
                </c:pt>
                <c:pt idx="3">
                  <c:v>56.8452380952381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77823376"/>
        <c:axId val="1569204368"/>
      </c:barChart>
      <c:catAx>
        <c:axId val="1977823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noFill/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569204368"/>
        <c:crosses val="autoZero"/>
        <c:auto val="1"/>
        <c:lblAlgn val="ctr"/>
        <c:lblOffset val="100"/>
        <c:noMultiLvlLbl val="0"/>
      </c:catAx>
      <c:valAx>
        <c:axId val="1569204368"/>
        <c:scaling>
          <c:orientation val="minMax"/>
          <c:max val="200.0"/>
          <c:min val="-3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USD/(a-kW ESS)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77823376"/>
        <c:crosses val="autoZero"/>
        <c:crossBetween val="between"/>
        <c:majorUnit val="100.0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364303027695308"/>
          <c:y val="0.0272448235637212"/>
          <c:w val="0.939782005748824"/>
          <c:h val="0.330633566637504"/>
        </c:manualLayout>
      </c:layout>
      <c:barChart>
        <c:barDir val="col"/>
        <c:grouping val="clustered"/>
        <c:varyColors val="0"/>
        <c:ser>
          <c:idx val="0"/>
          <c:order val="0"/>
          <c:tx>
            <c:v>Revenue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val>
            <c:numRef>
              <c:f>NSW_ESS_new!$F$67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1"/>
          <c:order val="1"/>
          <c:tx>
            <c:v>Operating Cost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NSW_ESS_new!$G$67</c:f>
              <c:numCache>
                <c:formatCode>General</c:formatCode>
                <c:ptCount val="1"/>
                <c:pt idx="0">
                  <c:v>2.0</c:v>
                </c:pt>
              </c:numCache>
            </c:numRef>
          </c:val>
        </c:ser>
        <c:ser>
          <c:idx val="2"/>
          <c:order val="2"/>
          <c:tx>
            <c:v>Operating Profit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NSW_ESS_new!$H$67</c:f>
              <c:numCache>
                <c:formatCode>General</c:formatCode>
                <c:ptCount val="1"/>
                <c:pt idx="0">
                  <c:v>3.0</c:v>
                </c:pt>
              </c:numCache>
            </c:numRef>
          </c:val>
        </c:ser>
        <c:ser>
          <c:idx val="3"/>
          <c:order val="3"/>
          <c:tx>
            <c:v>Fixed Cost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NSW_ESS_new!$I$67</c:f>
              <c:numCache>
                <c:formatCode>General</c:formatCode>
                <c:ptCount val="1"/>
                <c:pt idx="0">
                  <c:v>4.0</c:v>
                </c:pt>
              </c:numCache>
            </c:numRef>
          </c:val>
        </c:ser>
        <c:ser>
          <c:idx val="4"/>
          <c:order val="4"/>
          <c:tx>
            <c:v>Profit (positive)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val>
            <c:numRef>
              <c:f>NSW_ESS_new!$J$67</c:f>
              <c:numCache>
                <c:formatCode>General</c:formatCode>
                <c:ptCount val="1"/>
                <c:pt idx="0">
                  <c:v>5.0</c:v>
                </c:pt>
              </c:numCache>
            </c:numRef>
          </c:val>
        </c:ser>
        <c:ser>
          <c:idx val="5"/>
          <c:order val="5"/>
          <c:tx>
            <c:v>Profit (negative)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1.0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1220768"/>
        <c:axId val="2038511072"/>
      </c:barChart>
      <c:catAx>
        <c:axId val="169122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8511072"/>
        <c:crosses val="autoZero"/>
        <c:auto val="1"/>
        <c:lblAlgn val="ctr"/>
        <c:lblOffset val="100"/>
        <c:noMultiLvlLbl val="0"/>
      </c:catAx>
      <c:valAx>
        <c:axId val="2038511072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1220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83054892601432"/>
          <c:y val="0.781987529336611"/>
          <c:w val="0.62598030556443"/>
          <c:h val="0.126301712285964"/>
        </c:manualLayout>
      </c:layout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Revenue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NSW_ESS_new!$C$39:$D$39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NSW_ESS_new!$C$40:$D$40</c:f>
              <c:numCache>
                <c:formatCode>0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1"/>
          <c:order val="1"/>
          <c:tx>
            <c:v>Operating Profit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NSW_ESS_new!$C$39:$D$39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NSW_ESS_new!$C$41:$D$41</c:f>
              <c:numCache>
                <c:formatCode>0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2"/>
          <c:order val="2"/>
          <c:tx>
            <c:v>Profit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NSW_ESS_new!$C$39:$D$39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NSW_ESS_new!$C$42:$D$42</c:f>
              <c:numCache>
                <c:formatCode>0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8617776"/>
        <c:axId val="2038608816"/>
      </c:barChart>
      <c:barChart>
        <c:barDir val="col"/>
        <c:grouping val="clustered"/>
        <c:varyColors val="0"/>
        <c:ser>
          <c:idx val="3"/>
          <c:order val="3"/>
          <c:tx>
            <c:v>System Size</c:v>
          </c:tx>
          <c:spPr>
            <a:solidFill>
              <a:schemeClr val="accent3">
                <a:alpha val="1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NSW_ESS_new!$C$39:$D$39</c:f>
              <c:strCache>
                <c:ptCount val="2"/>
                <c:pt idx="0">
                  <c:v>max. profitable size</c:v>
                </c:pt>
                <c:pt idx="1">
                  <c:v>max. profit</c:v>
                </c:pt>
              </c:strCache>
            </c:strRef>
          </c:cat>
          <c:val>
            <c:numRef>
              <c:f>NSW_ESS_new!$C$43:$D$43</c:f>
              <c:numCache>
                <c:formatCode>0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583360880"/>
        <c:axId val="2003208320"/>
      </c:barChart>
      <c:catAx>
        <c:axId val="2038617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2038608816"/>
        <c:crosses val="autoZero"/>
        <c:auto val="1"/>
        <c:lblAlgn val="ctr"/>
        <c:lblOffset val="100"/>
        <c:noMultiLvlLbl val="0"/>
      </c:catAx>
      <c:valAx>
        <c:axId val="2038608816"/>
        <c:scaling>
          <c:orientation val="minMax"/>
          <c:max val="6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USD/(a-MW consumption)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2038617776"/>
        <c:crosses val="autoZero"/>
        <c:crossBetween val="between"/>
        <c:majorUnit val="200.0"/>
      </c:valAx>
      <c:valAx>
        <c:axId val="2003208320"/>
        <c:scaling>
          <c:orientation val="minMax"/>
          <c:max val="1.2"/>
          <c:min val="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(kW ESS)/(MW consumption)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583360880"/>
        <c:crosses val="max"/>
        <c:crossBetween val="between"/>
        <c:majorUnit val="0.4"/>
      </c:valAx>
      <c:catAx>
        <c:axId val="15833608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03208320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165814523184602"/>
          <c:y val="0.0792366579177602"/>
          <c:w val="0.660037620297463"/>
          <c:h val="0.092059638378536"/>
        </c:manualLayout>
      </c:layout>
      <c:overlay val="1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\ ##0" sourceLinked="0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NSW_ESS!$B$7</c:f>
              <c:numCache>
                <c:formatCode>General</c:formatCode>
                <c:ptCount val="1"/>
                <c:pt idx="0">
                  <c:v>1846.0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\ 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NSW_ESS!$B$8</c:f>
              <c:numCache>
                <c:formatCode>General</c:formatCode>
                <c:ptCount val="1"/>
                <c:pt idx="0">
                  <c:v>1176.0</c:v>
                </c:pt>
              </c:numCache>
            </c:numRef>
          </c:val>
        </c:ser>
        <c:ser>
          <c:idx val="2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\ ##0" sourceLinked="0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NSW_ESS!$B$9</c:f>
              <c:numCache>
                <c:formatCode>General</c:formatCode>
                <c:ptCount val="1"/>
                <c:pt idx="0">
                  <c:v>-16040.0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44038944"/>
        <c:axId val="1660921408"/>
      </c:barChart>
      <c:barChart>
        <c:barDir val="col"/>
        <c:grouping val="clustered"/>
        <c:varyColors val="0"/>
        <c:ser>
          <c:idx val="3"/>
          <c:order val="3"/>
          <c:spPr>
            <a:solidFill>
              <a:schemeClr val="tx1">
                <a:lumMod val="50000"/>
                <a:lumOff val="50000"/>
                <a:alpha val="5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strRef>
              <c:f>NSW_ESS!$B$6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NSW_ESS!$B$10</c:f>
              <c:numCache>
                <c:formatCode>General</c:formatCode>
                <c:ptCount val="1"/>
                <c:pt idx="0">
                  <c:v>67289.0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100"/>
        <c:axId val="1655381696"/>
        <c:axId val="1698404432"/>
      </c:barChart>
      <c:catAx>
        <c:axId val="1544038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60921408"/>
        <c:crosses val="autoZero"/>
        <c:auto val="1"/>
        <c:lblAlgn val="ctr"/>
        <c:lblOffset val="100"/>
        <c:noMultiLvlLbl val="0"/>
      </c:catAx>
      <c:valAx>
        <c:axId val="1660921408"/>
        <c:scaling>
          <c:orientation val="minMax"/>
          <c:max val="2000.0"/>
          <c:min val="-10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Income (mUSD)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544038944"/>
        <c:crosses val="autoZero"/>
        <c:crossBetween val="between"/>
        <c:majorUnit val="1000.0"/>
      </c:valAx>
      <c:valAx>
        <c:axId val="1698404432"/>
        <c:scaling>
          <c:orientation val="minMax"/>
          <c:max val="80000.0"/>
          <c:min val="-4000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System Size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#\ ##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55381696"/>
        <c:crosses val="max"/>
        <c:crossBetween val="between"/>
        <c:majorUnit val="40000.0"/>
      </c:valAx>
      <c:catAx>
        <c:axId val="16553816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98404432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NSW_ESS!$A$7</c:f>
              <c:strCache>
                <c:ptCount val="1"/>
                <c:pt idx="0">
                  <c:v>Revenue (mUSD)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NSW_ESS!$B$6:$G$6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NSW_ESS!$B$7:$G$7</c:f>
              <c:numCache>
                <c:formatCode>General</c:formatCode>
                <c:ptCount val="6"/>
                <c:pt idx="0">
                  <c:v>1846.0</c:v>
                </c:pt>
              </c:numCache>
            </c:numRef>
          </c:val>
        </c:ser>
        <c:ser>
          <c:idx val="1"/>
          <c:order val="1"/>
          <c:tx>
            <c:strRef>
              <c:f>NSW_ESS!$A$8</c:f>
              <c:strCache>
                <c:ptCount val="1"/>
                <c:pt idx="0">
                  <c:v>Operating Profit (mUSD)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NSW_ESS!$B$6:$G$6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NSW_ESS!$B$8:$G$8</c:f>
              <c:numCache>
                <c:formatCode>General</c:formatCode>
                <c:ptCount val="6"/>
                <c:pt idx="0">
                  <c:v>1176.0</c:v>
                </c:pt>
              </c:numCache>
            </c:numRef>
          </c:val>
        </c:ser>
        <c:ser>
          <c:idx val="2"/>
          <c:order val="2"/>
          <c:tx>
            <c:strRef>
              <c:f>NSW_ESS!$A$9</c:f>
              <c:strCache>
                <c:ptCount val="1"/>
                <c:pt idx="0">
                  <c:v>Profit (mUSD)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\ 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NSW_ESS!$B$6:$G$6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NSW_ESS!$B$9:$G$9</c:f>
              <c:numCache>
                <c:formatCode>General</c:formatCode>
                <c:ptCount val="6"/>
                <c:pt idx="0">
                  <c:v>-16040.0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58590208"/>
        <c:axId val="2015001296"/>
      </c:barChart>
      <c:barChart>
        <c:barDir val="col"/>
        <c:grouping val="clustered"/>
        <c:varyColors val="0"/>
        <c:ser>
          <c:idx val="3"/>
          <c:order val="3"/>
          <c:tx>
            <c:strRef>
              <c:f>NSW_ESS!$A$10</c:f>
              <c:strCache>
                <c:ptCount val="1"/>
                <c:pt idx="0">
                  <c:v>System Size (MW)</c:v>
                </c:pt>
              </c:strCache>
            </c:strRef>
          </c:tx>
          <c:spPr>
            <a:solidFill>
              <a:schemeClr val="tx1">
                <a:lumMod val="50000"/>
                <a:lumOff val="50000"/>
                <a:alpha val="10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strRef>
              <c:f>NSW_ESS!$B$6:$G$6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NSW_ESS!$B$10:$G$10</c:f>
              <c:numCache>
                <c:formatCode>General</c:formatCode>
                <c:ptCount val="6"/>
                <c:pt idx="0">
                  <c:v>67289.0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100"/>
        <c:axId val="2014873056"/>
        <c:axId val="1973304176"/>
      </c:barChart>
      <c:catAx>
        <c:axId val="1658590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5001296"/>
        <c:crosses val="autoZero"/>
        <c:auto val="1"/>
        <c:lblAlgn val="ctr"/>
        <c:lblOffset val="100"/>
        <c:noMultiLvlLbl val="0"/>
      </c:catAx>
      <c:valAx>
        <c:axId val="2015001296"/>
        <c:scaling>
          <c:orientation val="minMax"/>
          <c:min val="-100.0"/>
        </c:scaling>
        <c:delete val="0"/>
        <c:axPos val="l"/>
        <c:numFmt formatCode="General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590208"/>
        <c:crosses val="autoZero"/>
        <c:crossBetween val="between"/>
      </c:valAx>
      <c:valAx>
        <c:axId val="1973304176"/>
        <c:scaling>
          <c:orientation val="minMax"/>
          <c:min val="-30000.0"/>
        </c:scaling>
        <c:delete val="0"/>
        <c:axPos val="r"/>
        <c:numFmt formatCode="#\ ##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4873056"/>
        <c:crosses val="max"/>
        <c:crossBetween val="between"/>
        <c:majorUnit val="30000.0"/>
      </c:valAx>
      <c:catAx>
        <c:axId val="20148730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7330417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NSW_ESS!$A$7</c:f>
              <c:strCache>
                <c:ptCount val="1"/>
                <c:pt idx="0">
                  <c:v>Revenue (mUSD)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NSW_ESS!$B$7:$K$7</c:f>
              <c:numCache>
                <c:formatCode>General</c:formatCode>
                <c:ptCount val="10"/>
                <c:pt idx="0">
                  <c:v>1846.0</c:v>
                </c:pt>
              </c:numCache>
            </c:numRef>
          </c:val>
        </c:ser>
        <c:ser>
          <c:idx val="1"/>
          <c:order val="2"/>
          <c:tx>
            <c:strRef>
              <c:f>NSW_ESS!$A$8</c:f>
              <c:strCache>
                <c:ptCount val="1"/>
                <c:pt idx="0">
                  <c:v>Operating Profit (mUSD)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NSW_ESS!$B$8:$K$8</c:f>
              <c:numCache>
                <c:formatCode>General</c:formatCode>
                <c:ptCount val="10"/>
                <c:pt idx="0">
                  <c:v>1176.0</c:v>
                </c:pt>
              </c:numCache>
            </c:numRef>
          </c:val>
        </c:ser>
        <c:ser>
          <c:idx val="2"/>
          <c:order val="3"/>
          <c:tx>
            <c:strRef>
              <c:f>NSW_ESS!$A$9</c:f>
              <c:strCache>
                <c:ptCount val="1"/>
                <c:pt idx="0">
                  <c:v>Profit (mUSD)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NSW_ESS!$B$9:$K$9</c:f>
              <c:numCache>
                <c:formatCode>General</c:formatCode>
                <c:ptCount val="10"/>
                <c:pt idx="0">
                  <c:v>-16040.0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34425376"/>
        <c:axId val="1987530576"/>
      </c:barChart>
      <c:barChart>
        <c:barDir val="col"/>
        <c:grouping val="clustered"/>
        <c:varyColors val="0"/>
        <c:ser>
          <c:idx val="3"/>
          <c:order val="0"/>
          <c:tx>
            <c:strRef>
              <c:f>NSW_ESS!$A$10</c:f>
              <c:strCache>
                <c:ptCount val="1"/>
                <c:pt idx="0">
                  <c:v>System Size (MW)</c:v>
                </c:pt>
              </c:strCache>
            </c:strRef>
          </c:tx>
          <c:spPr>
            <a:solidFill>
              <a:schemeClr val="tx2">
                <a:alpha val="15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NSW_ESS!$B$10:$K$10</c:f>
              <c:numCache>
                <c:formatCode>General</c:formatCode>
                <c:ptCount val="10"/>
                <c:pt idx="0">
                  <c:v>67289.0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679028592"/>
        <c:axId val="2019391536"/>
      </c:barChart>
      <c:catAx>
        <c:axId val="15344253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987530576"/>
        <c:crosses val="autoZero"/>
        <c:auto val="1"/>
        <c:lblAlgn val="ctr"/>
        <c:lblOffset val="100"/>
        <c:noMultiLvlLbl val="0"/>
      </c:catAx>
      <c:valAx>
        <c:axId val="1987530576"/>
        <c:scaling>
          <c:orientation val="minMax"/>
          <c:max val="800.0"/>
          <c:min val="-200.0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4425376"/>
        <c:crosses val="autoZero"/>
        <c:crossBetween val="between"/>
      </c:valAx>
      <c:valAx>
        <c:axId val="2019391536"/>
        <c:scaling>
          <c:orientation val="minMax"/>
          <c:max val="160000.0"/>
          <c:min val="-40000.0"/>
        </c:scaling>
        <c:delete val="0"/>
        <c:axPos val="r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028592"/>
        <c:crosses val="max"/>
        <c:crossBetween val="between"/>
      </c:valAx>
      <c:catAx>
        <c:axId val="1679028592"/>
        <c:scaling>
          <c:orientation val="minMax"/>
        </c:scaling>
        <c:delete val="1"/>
        <c:axPos val="b"/>
        <c:majorTickMark val="out"/>
        <c:minorTickMark val="none"/>
        <c:tickLblPos val="nextTo"/>
        <c:crossAx val="201939153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447251385244"/>
          <c:y val="0.0902777777777778"/>
          <c:w val="0.719540682414698"/>
          <c:h val="0.74563648293963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NSW_ESS!$B$11</c:f>
              <c:numCache>
                <c:formatCode>General</c:formatCode>
                <c:ptCount val="1"/>
                <c:pt idx="0">
                  <c:v>0.0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NSW_ESS!$B$12</c:f>
              <c:numCache>
                <c:formatCode>General</c:formatCode>
                <c:ptCount val="1"/>
                <c:pt idx="0">
                  <c:v>0.0</c:v>
                </c:pt>
              </c:numCache>
            </c:numRef>
          </c:val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\ 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NSW_ESS!$B$13</c:f>
              <c:numCache>
                <c:formatCode>General</c:formatCode>
                <c:ptCount val="1"/>
                <c:pt idx="0">
                  <c:v>0.0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60561856"/>
        <c:axId val="1660910848"/>
      </c:barChart>
      <c:barChart>
        <c:barDir val="col"/>
        <c:grouping val="clustered"/>
        <c:varyColors val="0"/>
        <c:ser>
          <c:idx val="3"/>
          <c:order val="3"/>
          <c:spPr>
            <a:solidFill>
              <a:schemeClr val="tx1">
                <a:lumMod val="50000"/>
                <a:lumOff val="50000"/>
                <a:alpha val="5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NSW_ESS!$B$14</c:f>
              <c:numCache>
                <c:formatCode>General</c:formatCode>
                <c:ptCount val="1"/>
                <c:pt idx="0">
                  <c:v>0.0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100"/>
        <c:axId val="1734097520"/>
        <c:axId val="1654726208"/>
      </c:barChart>
      <c:catAx>
        <c:axId val="166056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60910848"/>
        <c:crosses val="autoZero"/>
        <c:auto val="1"/>
        <c:lblAlgn val="ctr"/>
        <c:lblOffset val="100"/>
        <c:noMultiLvlLbl val="0"/>
      </c:catAx>
      <c:valAx>
        <c:axId val="16609108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Income (mUSD)</a:t>
                </a:r>
              </a:p>
            </c:rich>
          </c:tx>
          <c:layout>
            <c:manualLayout>
              <c:xMode val="edge"/>
              <c:yMode val="edge"/>
              <c:x val="0.0208333333333333"/>
              <c:y val="0.2003526902887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60561856"/>
        <c:crosses val="autoZero"/>
        <c:crossBetween val="between"/>
        <c:majorUnit val="20.0"/>
      </c:valAx>
      <c:valAx>
        <c:axId val="1654726208"/>
        <c:scaling>
          <c:orientation val="minMax"/>
          <c:min val="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System Size (MW)</a:t>
                </a:r>
              </a:p>
            </c:rich>
          </c:tx>
          <c:layout>
            <c:manualLayout>
              <c:xMode val="edge"/>
              <c:yMode val="edge"/>
              <c:x val="0.93517351997667"/>
              <c:y val="0.161776574803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#\ ##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734097520"/>
        <c:crosses val="max"/>
        <c:crossBetween val="between"/>
      </c:valAx>
      <c:catAx>
        <c:axId val="17340975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5472620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447251385244"/>
          <c:y val="0.0902777777777778"/>
          <c:w val="0.719540682414698"/>
          <c:h val="0.74563648293963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NSW_ESS!$B$15</c:f>
              <c:numCache>
                <c:formatCode>General</c:formatCode>
                <c:ptCount val="1"/>
                <c:pt idx="0">
                  <c:v>0.0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NSW_ESS!$B$16</c:f>
              <c:numCache>
                <c:formatCode>General</c:formatCode>
                <c:ptCount val="1"/>
                <c:pt idx="0">
                  <c:v>0.0</c:v>
                </c:pt>
              </c:numCache>
            </c:numRef>
          </c:val>
        </c:ser>
        <c:ser>
          <c:idx val="2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\ 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NSW_ESS!$B$17</c:f>
              <c:numCache>
                <c:formatCode>General</c:formatCode>
                <c:ptCount val="1"/>
                <c:pt idx="0">
                  <c:v>0.0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97875392"/>
        <c:axId val="1685199392"/>
      </c:barChart>
      <c:barChart>
        <c:barDir val="col"/>
        <c:grouping val="clustered"/>
        <c:varyColors val="0"/>
        <c:ser>
          <c:idx val="3"/>
          <c:order val="3"/>
          <c:spPr>
            <a:solidFill>
              <a:schemeClr val="tx1">
                <a:lumMod val="50000"/>
                <a:lumOff val="50000"/>
                <a:alpha val="5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NSW_ESS!$B$18</c:f>
              <c:numCache>
                <c:formatCode>General</c:formatCode>
                <c:ptCount val="1"/>
                <c:pt idx="0">
                  <c:v>0.0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100"/>
        <c:axId val="1685822480"/>
        <c:axId val="1680977216"/>
      </c:barChart>
      <c:catAx>
        <c:axId val="1697875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85199392"/>
        <c:crosses val="autoZero"/>
        <c:auto val="1"/>
        <c:lblAlgn val="ctr"/>
        <c:lblOffset val="100"/>
        <c:noMultiLvlLbl val="0"/>
      </c:catAx>
      <c:valAx>
        <c:axId val="1685199392"/>
        <c:scaling>
          <c:orientation val="minMax"/>
          <c:max val="6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Income (mUSD)</a:t>
                </a:r>
              </a:p>
            </c:rich>
          </c:tx>
          <c:layout>
            <c:manualLayout>
              <c:xMode val="edge"/>
              <c:yMode val="edge"/>
              <c:x val="0.0208333333333333"/>
              <c:y val="0.2003526902887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97875392"/>
        <c:crosses val="autoZero"/>
        <c:crossBetween val="between"/>
        <c:majorUnit val="20.0"/>
      </c:valAx>
      <c:valAx>
        <c:axId val="1680977216"/>
        <c:scaling>
          <c:orientation val="minMax"/>
          <c:max val="200.0"/>
          <c:min val="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System Size (MW)</a:t>
                </a:r>
              </a:p>
            </c:rich>
          </c:tx>
          <c:layout>
            <c:manualLayout>
              <c:xMode val="edge"/>
              <c:yMode val="edge"/>
              <c:x val="0.93517351997667"/>
              <c:y val="0.161776574803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#\ ##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85822480"/>
        <c:crosses val="max"/>
        <c:crossBetween val="between"/>
      </c:valAx>
      <c:catAx>
        <c:axId val="1685822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8097721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447251385244"/>
          <c:y val="0.0902777777777778"/>
          <c:w val="0.719540682414698"/>
          <c:h val="0.74563648293963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NSW_ESS!$B$19</c:f>
              <c:numCache>
                <c:formatCode>General</c:formatCode>
                <c:ptCount val="1"/>
                <c:pt idx="0">
                  <c:v>0.087524259340245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Helvetica" charset="0"/>
                      <a:ea typeface="Helvetica" charset="0"/>
                      <a:cs typeface="Helvetica" charset="0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.00" sourceLinked="0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NSW_ESS!$B$20</c:f>
              <c:numCache>
                <c:formatCode>General</c:formatCode>
                <c:ptCount val="1"/>
                <c:pt idx="0">
                  <c:v>0.056147946683995</c:v>
                </c:pt>
              </c:numCache>
            </c:numRef>
          </c:val>
        </c:ser>
        <c:ser>
          <c:idx val="2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NSW_ESS!$B$6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NSW_ESS!$B$21</c:f>
              <c:numCache>
                <c:formatCode>General</c:formatCode>
                <c:ptCount val="1"/>
                <c:pt idx="0">
                  <c:v>-0.199695606151521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55062208"/>
        <c:axId val="1660827424"/>
      </c:barChart>
      <c:barChart>
        <c:barDir val="col"/>
        <c:grouping val="clustered"/>
        <c:varyColors val="0"/>
        <c:ser>
          <c:idx val="3"/>
          <c:order val="3"/>
          <c:spPr>
            <a:solidFill>
              <a:schemeClr val="tx1">
                <a:lumMod val="50000"/>
                <a:lumOff val="50000"/>
                <a:alpha val="5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strRef>
              <c:f>NSW_ESS!$B$6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NSW_ESS!$B$22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100"/>
        <c:axId val="1681050048"/>
        <c:axId val="2045232496"/>
      </c:barChart>
      <c:catAx>
        <c:axId val="165506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60827424"/>
        <c:crosses val="autoZero"/>
        <c:auto val="1"/>
        <c:lblAlgn val="ctr"/>
        <c:lblOffset val="100"/>
        <c:noMultiLvlLbl val="0"/>
      </c:catAx>
      <c:valAx>
        <c:axId val="1660827424"/>
        <c:scaling>
          <c:orientation val="minMax"/>
          <c:max val="0.4"/>
          <c:min val="-0.3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Income (mUSD)</a:t>
                </a:r>
              </a:p>
            </c:rich>
          </c:tx>
          <c:layout>
            <c:manualLayout>
              <c:xMode val="edge"/>
              <c:yMode val="edge"/>
              <c:x val="0.0208333333333333"/>
              <c:y val="0.2003526902887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55062208"/>
        <c:crosses val="autoZero"/>
        <c:crossBetween val="between"/>
        <c:majorUnit val="0.2"/>
      </c:valAx>
      <c:valAx>
        <c:axId val="2045232496"/>
        <c:scaling>
          <c:orientation val="minMax"/>
          <c:max val="1.2"/>
          <c:min val="-0.9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System Size (MW)</a:t>
                </a:r>
              </a:p>
            </c:rich>
          </c:tx>
          <c:layout>
            <c:manualLayout>
              <c:xMode val="edge"/>
              <c:yMode val="edge"/>
              <c:x val="0.93517351997667"/>
              <c:y val="0.161776574803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#\ ##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81050048"/>
        <c:crosses val="max"/>
        <c:crossBetween val="between"/>
        <c:majorUnit val="1.9"/>
      </c:valAx>
      <c:catAx>
        <c:axId val="1681050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523249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Germany_EV!$A$7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Germany_EV!$B$6:$E$6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DA+ID+SCR+PCR</c:v>
                </c:pt>
              </c:strCache>
            </c:strRef>
          </c:cat>
          <c:val>
            <c:numRef>
              <c:f>Germany_EV!$B$7:$E$7</c:f>
              <c:numCache>
                <c:formatCode>0</c:formatCode>
                <c:ptCount val="4"/>
                <c:pt idx="0">
                  <c:v>104.2779136532882</c:v>
                </c:pt>
                <c:pt idx="1">
                  <c:v>228.0382406089638</c:v>
                </c:pt>
                <c:pt idx="2">
                  <c:v>436.4789525008387</c:v>
                </c:pt>
                <c:pt idx="3">
                  <c:v>923.1122876074182</c:v>
                </c:pt>
              </c:numCache>
            </c:numRef>
          </c:val>
        </c:ser>
        <c:ser>
          <c:idx val="1"/>
          <c:order val="1"/>
          <c:tx>
            <c:strRef>
              <c:f>Germany_EV!$A$8</c:f>
              <c:strCache>
                <c:ptCount val="1"/>
                <c:pt idx="0">
                  <c:v>Implicit charging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Germany_EV!$B$6:$E$6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DA+ID+SCR+PCR</c:v>
                </c:pt>
              </c:strCache>
            </c:strRef>
          </c:cat>
          <c:val>
            <c:numRef>
              <c:f>Germany_EV!$B$8:$E$8</c:f>
              <c:numCache>
                <c:formatCode>0</c:formatCode>
                <c:ptCount val="4"/>
                <c:pt idx="0">
                  <c:v>-103.2937036134629</c:v>
                </c:pt>
                <c:pt idx="1">
                  <c:v>-103.2937036134629</c:v>
                </c:pt>
                <c:pt idx="2">
                  <c:v>-103.2937036134629</c:v>
                </c:pt>
                <c:pt idx="3">
                  <c:v>-103.2937036134629</c:v>
                </c:pt>
              </c:numCache>
            </c:numRef>
          </c:val>
        </c:ser>
        <c:ser>
          <c:idx val="2"/>
          <c:order val="2"/>
          <c:tx>
            <c:strRef>
              <c:f>Germany_EV!$A$9</c:f>
              <c:strCache>
                <c:ptCount val="1"/>
                <c:pt idx="0">
                  <c:v>Proft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Germany_EV!$B$6:$E$6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DA+ID+SCR+PCR</c:v>
                </c:pt>
              </c:strCache>
            </c:strRef>
          </c:cat>
          <c:val>
            <c:numRef>
              <c:f>Germany_EV!$B$9:$E$9</c:f>
              <c:numCache>
                <c:formatCode>0</c:formatCode>
                <c:ptCount val="4"/>
                <c:pt idx="0">
                  <c:v>84.38578524337203</c:v>
                </c:pt>
                <c:pt idx="1">
                  <c:v>209.7814372030392</c:v>
                </c:pt>
                <c:pt idx="2">
                  <c:v>418.2221490949141</c:v>
                </c:pt>
                <c:pt idx="3">
                  <c:v>904.8554842014937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3395360"/>
        <c:axId val="2044381344"/>
      </c:barChart>
      <c:catAx>
        <c:axId val="1573395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2044381344"/>
        <c:crosses val="autoZero"/>
        <c:auto val="1"/>
        <c:lblAlgn val="ctr"/>
        <c:lblOffset val="100"/>
        <c:noMultiLvlLbl val="0"/>
      </c:catAx>
      <c:valAx>
        <c:axId val="204438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573395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Germany_EV!$A$7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Germany_EV!$B$6:$E$6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DA+ID+SCR+PCR</c:v>
                </c:pt>
              </c:strCache>
            </c:strRef>
          </c:cat>
          <c:val>
            <c:numRef>
              <c:f>Germany_EV!$B$7:$E$7</c:f>
              <c:numCache>
                <c:formatCode>0</c:formatCode>
                <c:ptCount val="4"/>
                <c:pt idx="0">
                  <c:v>104.2779136532882</c:v>
                </c:pt>
                <c:pt idx="1">
                  <c:v>228.0382406089638</c:v>
                </c:pt>
                <c:pt idx="2">
                  <c:v>436.4789525008387</c:v>
                </c:pt>
                <c:pt idx="3">
                  <c:v>923.1122876074182</c:v>
                </c:pt>
              </c:numCache>
            </c:numRef>
          </c:val>
        </c:ser>
        <c:ser>
          <c:idx val="1"/>
          <c:order val="1"/>
          <c:tx>
            <c:strRef>
              <c:f>Germany_EV!$A$8</c:f>
              <c:strCache>
                <c:ptCount val="1"/>
                <c:pt idx="0">
                  <c:v>Implicit charging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Germany_EV!$B$6:$E$6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DA+ID+SCR+PCR</c:v>
                </c:pt>
              </c:strCache>
            </c:strRef>
          </c:cat>
          <c:val>
            <c:numRef>
              <c:f>Germany_EV!$B$8:$E$8</c:f>
              <c:numCache>
                <c:formatCode>0</c:formatCode>
                <c:ptCount val="4"/>
                <c:pt idx="0">
                  <c:v>-103.2937036134629</c:v>
                </c:pt>
                <c:pt idx="1">
                  <c:v>-103.2937036134629</c:v>
                </c:pt>
                <c:pt idx="2">
                  <c:v>-103.2937036134629</c:v>
                </c:pt>
                <c:pt idx="3">
                  <c:v>-103.2937036134629</c:v>
                </c:pt>
              </c:numCache>
            </c:numRef>
          </c:val>
        </c:ser>
        <c:ser>
          <c:idx val="2"/>
          <c:order val="2"/>
          <c:tx>
            <c:strRef>
              <c:f>Germany_EV!$A$9</c:f>
              <c:strCache>
                <c:ptCount val="1"/>
                <c:pt idx="0">
                  <c:v>Proft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Germany_EV!$B$6:$E$6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DA+ID+SCR+PCR</c:v>
                </c:pt>
              </c:strCache>
            </c:strRef>
          </c:cat>
          <c:val>
            <c:numRef>
              <c:f>Germany_EV!$B$9:$E$9</c:f>
              <c:numCache>
                <c:formatCode>0</c:formatCode>
                <c:ptCount val="4"/>
                <c:pt idx="0">
                  <c:v>84.38578524337203</c:v>
                </c:pt>
                <c:pt idx="1">
                  <c:v>209.7814372030392</c:v>
                </c:pt>
                <c:pt idx="2">
                  <c:v>418.2221490949141</c:v>
                </c:pt>
                <c:pt idx="3">
                  <c:v>904.8554842014937</c:v>
                </c:pt>
              </c:numCache>
            </c:numRef>
          </c:val>
        </c:ser>
        <c:ser>
          <c:idx val="3"/>
          <c:order val="3"/>
          <c:tx>
            <c:strRef>
              <c:f>Germany_EV!$A$10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Germany_EV!$B$6:$E$6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DA+ID+SCR+PCR</c:v>
                </c:pt>
              </c:strCache>
            </c:strRef>
          </c:cat>
          <c:val>
            <c:numRef>
              <c:f>Germany_EV!$B$10:$E$10</c:f>
              <c:numCache>
                <c:formatCode>0</c:formatCode>
                <c:ptCount val="4"/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98399264"/>
        <c:axId val="1977486432"/>
      </c:barChart>
      <c:catAx>
        <c:axId val="1698399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77486432"/>
        <c:crosses val="autoZero"/>
        <c:auto val="1"/>
        <c:lblAlgn val="ctr"/>
        <c:lblOffset val="100"/>
        <c:noMultiLvlLbl val="0"/>
      </c:catAx>
      <c:valAx>
        <c:axId val="1977486432"/>
        <c:scaling>
          <c:orientation val="minMax"/>
          <c:max val="12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USD/(a-MW</a:t>
                </a:r>
                <a:r>
                  <a:rPr lang="en-US" baseline="0"/>
                  <a:t> consumption)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98399264"/>
        <c:crosses val="autoZero"/>
        <c:crossBetween val="between"/>
        <c:majorUnit val="300.0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Germany_EV!$A$11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.0"/>
                  <c:y val="0.012626262626262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Germany_EV!$B$6:$E$6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DA+ID+SCR+PCR</c:v>
                </c:pt>
              </c:strCache>
            </c:strRef>
          </c:cat>
          <c:val>
            <c:numRef>
              <c:f>Germany_EV!$B$11:$E$11</c:f>
              <c:numCache>
                <c:formatCode>0</c:formatCode>
                <c:ptCount val="4"/>
                <c:pt idx="0">
                  <c:v>178.820089158377</c:v>
                </c:pt>
                <c:pt idx="1">
                  <c:v>390.0582245883543</c:v>
                </c:pt>
                <c:pt idx="2">
                  <c:v>754.3438116473604</c:v>
                </c:pt>
                <c:pt idx="3">
                  <c:v>1375.733824413247</c:v>
                </c:pt>
              </c:numCache>
            </c:numRef>
          </c:val>
        </c:ser>
        <c:ser>
          <c:idx val="1"/>
          <c:order val="1"/>
          <c:tx>
            <c:strRef>
              <c:f>Germany_EV!$A$12</c:f>
              <c:strCache>
                <c:ptCount val="1"/>
                <c:pt idx="0">
                  <c:v>Implicit charging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0"/>
                  <c:y val="0.04838692038495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8.53817308441685E-17"/>
                  <c:y val="0.043394078581086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8.53817308441685E-17"/>
                  <c:y val="0.0307678159548239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0.0"/>
                  <c:y val="0.043394078581086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Germany_EV!$B$6:$E$6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DA+ID+SCR+PCR</c:v>
                </c:pt>
              </c:strCache>
            </c:strRef>
          </c:cat>
          <c:val>
            <c:numRef>
              <c:f>Germany_EV!$B$12:$E$12</c:f>
              <c:numCache>
                <c:formatCode>0</c:formatCode>
                <c:ptCount val="4"/>
                <c:pt idx="0">
                  <c:v>-178.5897479362393</c:v>
                </c:pt>
                <c:pt idx="1">
                  <c:v>-178.5897479362393</c:v>
                </c:pt>
                <c:pt idx="2">
                  <c:v>-178.5897479362393</c:v>
                </c:pt>
                <c:pt idx="3">
                  <c:v>-178.5897479362393</c:v>
                </c:pt>
              </c:numCache>
            </c:numRef>
          </c:val>
        </c:ser>
        <c:ser>
          <c:idx val="2"/>
          <c:order val="2"/>
          <c:tx>
            <c:strRef>
              <c:f>Germany_EV!$A$13</c:f>
              <c:strCache>
                <c:ptCount val="1"/>
                <c:pt idx="0">
                  <c:v>Proft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Germany_EV!$B$6:$E$6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DA+ID+SCR+PCR</c:v>
                </c:pt>
              </c:strCache>
            </c:strRef>
          </c:cat>
          <c:val>
            <c:numRef>
              <c:f>Germany_EV!$B$13:$E$13</c:f>
              <c:numCache>
                <c:formatCode>0</c:formatCode>
                <c:ptCount val="4"/>
                <c:pt idx="0">
                  <c:v>144.4275746645977</c:v>
                </c:pt>
                <c:pt idx="1">
                  <c:v>358.4931068287393</c:v>
                </c:pt>
                <c:pt idx="2">
                  <c:v>722.778693887747</c:v>
                </c:pt>
                <c:pt idx="3">
                  <c:v>1344.168706653634</c:v>
                </c:pt>
              </c:numCache>
            </c:numRef>
          </c:val>
        </c:ser>
        <c:ser>
          <c:idx val="3"/>
          <c:order val="3"/>
          <c:tx>
            <c:strRef>
              <c:f>Germany_EV!$A$14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Germany_EV!$B$6:$E$6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DA+ID+SCR+PCR</c:v>
                </c:pt>
              </c:strCache>
            </c:strRef>
          </c:cat>
          <c:val>
            <c:numRef>
              <c:f>Germany_EV!$B$14:$E$14</c:f>
              <c:numCache>
                <c:formatCode>0</c:formatCode>
                <c:ptCount val="4"/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70139696"/>
        <c:axId val="1701956896"/>
      </c:barChart>
      <c:catAx>
        <c:axId val="1570139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701956896"/>
        <c:crosses val="autoZero"/>
        <c:auto val="1"/>
        <c:lblAlgn val="ctr"/>
        <c:lblOffset val="100"/>
        <c:noMultiLvlLbl val="0"/>
      </c:catAx>
      <c:valAx>
        <c:axId val="1701956896"/>
        <c:scaling>
          <c:orientation val="minMax"/>
          <c:min val="-4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USD/(a-MW consumption)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570139696"/>
        <c:crosses val="autoZero"/>
        <c:crossBetween val="between"/>
        <c:majorUnit val="500.0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Germany_EV!$A$15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Germany_EV!$B$6:$E$6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DA+ID+SCR+PCR</c:v>
                </c:pt>
              </c:strCache>
            </c:strRef>
          </c:cat>
          <c:val>
            <c:numRef>
              <c:f>Germany_EV!$B$15:$E$15</c:f>
              <c:numCache>
                <c:formatCode>0</c:formatCode>
                <c:ptCount val="4"/>
                <c:pt idx="0">
                  <c:v>1001.151565901728</c:v>
                </c:pt>
                <c:pt idx="1">
                  <c:v>1892.644283578664</c:v>
                </c:pt>
                <c:pt idx="2">
                  <c:v>3450.051148420711</c:v>
                </c:pt>
                <c:pt idx="3">
                  <c:v>4749.02567383131</c:v>
                </c:pt>
              </c:numCache>
            </c:numRef>
          </c:val>
        </c:ser>
        <c:ser>
          <c:idx val="1"/>
          <c:order val="1"/>
          <c:tx>
            <c:strRef>
              <c:f>Germany_EV!$A$16</c:f>
              <c:strCache>
                <c:ptCount val="1"/>
                <c:pt idx="0">
                  <c:v>Implicit charging cost</c:v>
                </c:pt>
              </c:strCache>
            </c:strRef>
          </c:tx>
          <c:spPr>
            <a:solidFill>
              <a:schemeClr val="accent2">
                <a:alpha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Germany_EV!$B$6:$E$6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DA+ID+SCR+PCR</c:v>
                </c:pt>
              </c:strCache>
            </c:strRef>
          </c:cat>
          <c:val>
            <c:numRef>
              <c:f>Germany_EV!$B$16:$E$16</c:f>
              <c:numCache>
                <c:formatCode>0</c:formatCode>
                <c:ptCount val="4"/>
                <c:pt idx="0">
                  <c:v>-1223.338960237897</c:v>
                </c:pt>
                <c:pt idx="1">
                  <c:v>-1223.338960237897</c:v>
                </c:pt>
                <c:pt idx="2">
                  <c:v>-1223.338960237897</c:v>
                </c:pt>
                <c:pt idx="3">
                  <c:v>-1223.338960237897</c:v>
                </c:pt>
              </c:numCache>
            </c:numRef>
          </c:val>
        </c:ser>
        <c:ser>
          <c:idx val="2"/>
          <c:order val="2"/>
          <c:tx>
            <c:strRef>
              <c:f>Germany_EV!$A$17</c:f>
              <c:strCache>
                <c:ptCount val="1"/>
                <c:pt idx="0">
                  <c:v>Proft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Germany_EV!$B$6:$E$6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DA+ID+SCR+PCR</c:v>
                </c:pt>
              </c:strCache>
            </c:strRef>
          </c:cat>
          <c:val>
            <c:numRef>
              <c:f>Germany_EV!$B$17:$E$17</c:f>
              <c:numCache>
                <c:formatCode>0</c:formatCode>
                <c:ptCount val="4"/>
                <c:pt idx="0">
                  <c:v>762.2365184925806</c:v>
                </c:pt>
                <c:pt idx="1">
                  <c:v>1676.423370642383</c:v>
                </c:pt>
                <c:pt idx="2">
                  <c:v>3233.83023548443</c:v>
                </c:pt>
                <c:pt idx="3">
                  <c:v>4532.804760895046</c:v>
                </c:pt>
              </c:numCache>
            </c:numRef>
          </c:val>
        </c:ser>
        <c:ser>
          <c:idx val="3"/>
          <c:order val="3"/>
          <c:tx>
            <c:strRef>
              <c:f>Germany_EV!$A$18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Germany_EV!$B$6:$E$6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DA+ID+SCR+PCR</c:v>
                </c:pt>
              </c:strCache>
            </c:strRef>
          </c:cat>
          <c:val>
            <c:numRef>
              <c:f>Germany_EV!$B$18:$E$18</c:f>
              <c:numCache>
                <c:formatCode>0</c:formatCode>
                <c:ptCount val="4"/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15789680"/>
        <c:axId val="1574369184"/>
      </c:barChart>
      <c:catAx>
        <c:axId val="2015789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574369184"/>
        <c:crosses val="autoZero"/>
        <c:auto val="1"/>
        <c:lblAlgn val="ctr"/>
        <c:lblOffset val="100"/>
        <c:noMultiLvlLbl val="0"/>
      </c:catAx>
      <c:valAx>
        <c:axId val="1574369184"/>
        <c:scaling>
          <c:orientation val="minMax"/>
          <c:min val="-150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/>
                  <a:t>USD/(a-MW consumption)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2015789680"/>
        <c:crosses val="autoZero"/>
        <c:crossBetween val="between"/>
        <c:majorUnit val="1500.0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Germany_EV_new!$A$7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Germany_EV_new!$B$6:$E$6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DA+RT+SCR+PCR</c:v>
                </c:pt>
              </c:strCache>
            </c:strRef>
          </c:cat>
          <c:val>
            <c:numRef>
              <c:f>Germany_EV_new!$B$7:$E$7</c:f>
              <c:numCache>
                <c:formatCode>0.00</c:formatCode>
                <c:ptCount val="4"/>
                <c:pt idx="0">
                  <c:v>0.0119605657010068</c:v>
                </c:pt>
                <c:pt idx="1">
                  <c:v>0.0262440599847147</c:v>
                </c:pt>
                <c:pt idx="2">
                  <c:v>0.0497108350132273</c:v>
                </c:pt>
                <c:pt idx="3">
                  <c:v>0.120267583813853</c:v>
                </c:pt>
              </c:numCache>
            </c:numRef>
          </c:val>
        </c:ser>
        <c:ser>
          <c:idx val="1"/>
          <c:order val="1"/>
          <c:tx>
            <c:strRef>
              <c:f>Germany_EV_new!$A$8</c:f>
              <c:strCache>
                <c:ptCount val="1"/>
                <c:pt idx="0">
                  <c:v>Implicit charging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Germany_EV_new!$B$6:$E$6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DA+RT+SCR+PCR</c:v>
                </c:pt>
              </c:strCache>
            </c:strRef>
          </c:cat>
          <c:val>
            <c:numRef>
              <c:f>Germany_EV_new!$B$8:$E$8</c:f>
              <c:numCache>
                <c:formatCode>0.00</c:formatCode>
                <c:ptCount val="4"/>
                <c:pt idx="0">
                  <c:v>-0.0117593014159537</c:v>
                </c:pt>
                <c:pt idx="1">
                  <c:v>-0.0117593014159537</c:v>
                </c:pt>
                <c:pt idx="2">
                  <c:v>-0.0117593014159537</c:v>
                </c:pt>
                <c:pt idx="3">
                  <c:v>-0.0117593014159537</c:v>
                </c:pt>
              </c:numCache>
            </c:numRef>
          </c:val>
        </c:ser>
        <c:ser>
          <c:idx val="2"/>
          <c:order val="2"/>
          <c:tx>
            <c:v>Profit (positive)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Germany_EV_new!$B$6:$E$6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DA+RT+SCR+PCR</c:v>
                </c:pt>
              </c:strCache>
            </c:strRef>
          </c:cat>
          <c:val>
            <c:numRef>
              <c:f>Germany_EV_new!$B$9:$E$9</c:f>
              <c:numCache>
                <c:formatCode>0.00</c:formatCode>
                <c:ptCount val="4"/>
                <c:pt idx="0">
                  <c:v>-0.00592650544330148</c:v>
                </c:pt>
                <c:pt idx="1">
                  <c:v>0.000574407305966867</c:v>
                </c:pt>
                <c:pt idx="2">
                  <c:v>0.0304003707435871</c:v>
                </c:pt>
                <c:pt idx="3">
                  <c:v>0.10523762761027</c:v>
                </c:pt>
              </c:numCache>
            </c:numRef>
          </c:val>
        </c:ser>
        <c:ser>
          <c:idx val="3"/>
          <c:order val="3"/>
          <c:tx>
            <c:v>Profit (negative)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Germany_EV_new!$B$6:$E$6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DA+RT+SCR+PCR</c:v>
                </c:pt>
              </c:strCache>
            </c:strRef>
          </c:cat>
          <c:val>
            <c:numRef>
              <c:f>Germany_EV_new!$B$10:$E$10</c:f>
              <c:numCache>
                <c:formatCode>0.00</c:formatCode>
                <c:ptCount val="4"/>
                <c:pt idx="2">
                  <c:v>100.0</c:v>
                </c:pt>
                <c:pt idx="3">
                  <c:v>1000.0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3859408"/>
        <c:axId val="1550960032"/>
      </c:barChart>
      <c:catAx>
        <c:axId val="1653859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550960032"/>
        <c:crosses val="autoZero"/>
        <c:auto val="1"/>
        <c:lblAlgn val="ctr"/>
        <c:lblOffset val="100"/>
        <c:noMultiLvlLbl val="0"/>
      </c:catAx>
      <c:valAx>
        <c:axId val="15509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53859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Germany_EV_new!$A$7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Germany_EV_new!$B$6:$E$6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DA+RT+SCR+PCR</c:v>
                </c:pt>
              </c:strCache>
            </c:strRef>
          </c:cat>
          <c:val>
            <c:numRef>
              <c:f>Germany_EV_new!$B$7:$E$7</c:f>
              <c:numCache>
                <c:formatCode>0.00</c:formatCode>
                <c:ptCount val="4"/>
                <c:pt idx="0">
                  <c:v>0.0119605657010068</c:v>
                </c:pt>
                <c:pt idx="1">
                  <c:v>0.0262440599847147</c:v>
                </c:pt>
                <c:pt idx="2">
                  <c:v>0.0497108350132273</c:v>
                </c:pt>
                <c:pt idx="3">
                  <c:v>0.120267583813853</c:v>
                </c:pt>
              </c:numCache>
            </c:numRef>
          </c:val>
        </c:ser>
        <c:ser>
          <c:idx val="1"/>
          <c:order val="1"/>
          <c:tx>
            <c:strRef>
              <c:f>Germany_EV_new!$A$8</c:f>
              <c:strCache>
                <c:ptCount val="1"/>
                <c:pt idx="0">
                  <c:v>Implicit charging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Germany_EV_new!$B$6:$E$6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DA+RT+SCR+PCR</c:v>
                </c:pt>
              </c:strCache>
            </c:strRef>
          </c:cat>
          <c:val>
            <c:numRef>
              <c:f>Germany_EV_new!$B$8:$E$8</c:f>
              <c:numCache>
                <c:formatCode>0.00</c:formatCode>
                <c:ptCount val="4"/>
                <c:pt idx="0">
                  <c:v>-0.0117593014159537</c:v>
                </c:pt>
                <c:pt idx="1">
                  <c:v>-0.0117593014159537</c:v>
                </c:pt>
                <c:pt idx="2">
                  <c:v>-0.0117593014159537</c:v>
                </c:pt>
                <c:pt idx="3">
                  <c:v>-0.0117593014159537</c:v>
                </c:pt>
              </c:numCache>
            </c:numRef>
          </c:val>
        </c:ser>
        <c:ser>
          <c:idx val="2"/>
          <c:order val="2"/>
          <c:tx>
            <c:strRef>
              <c:f>Germany_EV_new!$A$9</c:f>
              <c:strCache>
                <c:ptCount val="1"/>
                <c:pt idx="0">
                  <c:v>Proft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Germany_EV_new!$B$6:$E$6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DA+RT+SCR+PCR</c:v>
                </c:pt>
              </c:strCache>
            </c:strRef>
          </c:cat>
          <c:val>
            <c:numRef>
              <c:f>Germany_EV_new!$B$9:$E$9</c:f>
              <c:numCache>
                <c:formatCode>0.00</c:formatCode>
                <c:ptCount val="4"/>
                <c:pt idx="0">
                  <c:v>-0.00592650544330148</c:v>
                </c:pt>
                <c:pt idx="1">
                  <c:v>0.000574407305966867</c:v>
                </c:pt>
                <c:pt idx="2">
                  <c:v>0.0304003707435871</c:v>
                </c:pt>
                <c:pt idx="3">
                  <c:v>0.10523762761027</c:v>
                </c:pt>
              </c:numCache>
            </c:numRef>
          </c:val>
        </c:ser>
        <c:dLbls>
          <c:dLblPos val="outEnd"/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6825152"/>
        <c:axId val="1953053888"/>
      </c:barChart>
      <c:catAx>
        <c:axId val="1656825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53053888"/>
        <c:crosses val="autoZero"/>
        <c:auto val="1"/>
        <c:lblAlgn val="ctr"/>
        <c:lblOffset val="100"/>
        <c:noMultiLvlLbl val="0"/>
      </c:catAx>
      <c:valAx>
        <c:axId val="19530538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 sz="900"/>
                  <a:t>USD/MWh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baseline="0">
                  <a:solidFill>
                    <a:sysClr val="windowText" lastClr="000000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56825152"/>
        <c:crosses val="autoZero"/>
        <c:crossBetween val="between"/>
        <c:majorUnit val="0.0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Germany_EV_new!$A$11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Germany_EV_new!$B$6:$E$6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DA+RT+SCR+PCR</c:v>
                </c:pt>
              </c:strCache>
            </c:strRef>
          </c:cat>
          <c:val>
            <c:numRef>
              <c:f>Germany_EV_new!$B$11:$E$11</c:f>
              <c:numCache>
                <c:formatCode>0.00</c:formatCode>
                <c:ptCount val="4"/>
                <c:pt idx="0">
                  <c:v>0.0205954245622107</c:v>
                </c:pt>
                <c:pt idx="1">
                  <c:v>0.0451989395795804</c:v>
                </c:pt>
                <c:pt idx="2">
                  <c:v>0.0859463490238734</c:v>
                </c:pt>
                <c:pt idx="3">
                  <c:v>0.192938411322986</c:v>
                </c:pt>
              </c:numCache>
            </c:numRef>
          </c:val>
        </c:ser>
        <c:ser>
          <c:idx val="1"/>
          <c:order val="1"/>
          <c:tx>
            <c:strRef>
              <c:f>Germany_EV_new!$A$12</c:f>
              <c:strCache>
                <c:ptCount val="1"/>
                <c:pt idx="0">
                  <c:v>Implicit charging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Germany_EV_new!$B$6:$E$6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DA+RT+SCR+PCR</c:v>
                </c:pt>
              </c:strCache>
            </c:strRef>
          </c:cat>
          <c:val>
            <c:numRef>
              <c:f>Germany_EV_new!$B$12:$E$12</c:f>
              <c:numCache>
                <c:formatCode>0.00</c:formatCode>
                <c:ptCount val="4"/>
                <c:pt idx="0">
                  <c:v>-0.0199402697800386</c:v>
                </c:pt>
                <c:pt idx="1">
                  <c:v>-0.0203312554620001</c:v>
                </c:pt>
                <c:pt idx="2">
                  <c:v>-0.0203312554620001</c:v>
                </c:pt>
                <c:pt idx="3">
                  <c:v>-0.0203312554620001</c:v>
                </c:pt>
              </c:numCache>
            </c:numRef>
          </c:val>
        </c:ser>
        <c:ser>
          <c:idx val="2"/>
          <c:order val="2"/>
          <c:tx>
            <c:strRef>
              <c:f>Germany_EV_new!$A$13</c:f>
              <c:strCache>
                <c:ptCount val="1"/>
                <c:pt idx="0">
                  <c:v>Proft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Germany_EV_new!$B$6:$E$6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DA+RT+SCR+PCR</c:v>
                </c:pt>
              </c:strCache>
            </c:strRef>
          </c:cat>
          <c:val>
            <c:numRef>
              <c:f>Germany_EV_new!$B$13:$E$13</c:f>
              <c:numCache>
                <c:formatCode>0.00</c:formatCode>
                <c:ptCount val="4"/>
                <c:pt idx="0">
                  <c:v>-0.0102665104453905</c:v>
                </c:pt>
                <c:pt idx="1">
                  <c:v>0.000952848631695234</c:v>
                </c:pt>
                <c:pt idx="2">
                  <c:v>0.0525595033033245</c:v>
                </c:pt>
                <c:pt idx="3">
                  <c:v>0.166090819830936</c:v>
                </c:pt>
              </c:numCache>
            </c:numRef>
          </c:val>
        </c:ser>
        <c:dLbls>
          <c:dLblPos val="outEnd"/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44905200"/>
        <c:axId val="1688128896"/>
      </c:barChart>
      <c:catAx>
        <c:axId val="2044905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88128896"/>
        <c:crosses val="autoZero"/>
        <c:auto val="1"/>
        <c:lblAlgn val="ctr"/>
        <c:lblOffset val="100"/>
        <c:noMultiLvlLbl val="0"/>
      </c:catAx>
      <c:valAx>
        <c:axId val="16881288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 sz="900"/>
                  <a:t>USD/MWh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baseline="0">
                  <a:solidFill>
                    <a:sysClr val="windowText" lastClr="000000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204490520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Germany_EV_new!$A$15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Germany_EV_new!$B$6:$E$6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DA+RT+SCR+PCR</c:v>
                </c:pt>
              </c:strCache>
            </c:strRef>
          </c:cat>
          <c:val>
            <c:numRef>
              <c:f>Germany_EV_new!$B$15:$E$15</c:f>
              <c:numCache>
                <c:formatCode>0.00</c:formatCode>
                <c:ptCount val="4"/>
                <c:pt idx="0">
                  <c:v>0.120565477725328</c:v>
                </c:pt>
                <c:pt idx="1">
                  <c:v>0.223253307516752</c:v>
                </c:pt>
                <c:pt idx="2">
                  <c:v>0.397804422707217</c:v>
                </c:pt>
                <c:pt idx="3">
                  <c:v>0.544946261292491</c:v>
                </c:pt>
              </c:numCache>
            </c:numRef>
          </c:val>
        </c:ser>
        <c:ser>
          <c:idx val="1"/>
          <c:order val="1"/>
          <c:tx>
            <c:strRef>
              <c:f>Germany_EV_new!$A$16</c:f>
              <c:strCache>
                <c:ptCount val="1"/>
                <c:pt idx="0">
                  <c:v>Implicit charging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Germany_EV_new!$B$6:$E$6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DA+RT+SCR+PCR</c:v>
                </c:pt>
              </c:strCache>
            </c:strRef>
          </c:cat>
          <c:val>
            <c:numRef>
              <c:f>Germany_EV_new!$B$16:$E$16</c:f>
              <c:numCache>
                <c:formatCode>0.00</c:formatCode>
                <c:ptCount val="4"/>
                <c:pt idx="0">
                  <c:v>-0.138853371106531</c:v>
                </c:pt>
                <c:pt idx="1">
                  <c:v>-0.138853371106531</c:v>
                </c:pt>
                <c:pt idx="2">
                  <c:v>-0.138853371106531</c:v>
                </c:pt>
                <c:pt idx="3">
                  <c:v>-0.138853371106531</c:v>
                </c:pt>
              </c:numCache>
            </c:numRef>
          </c:val>
        </c:ser>
        <c:ser>
          <c:idx val="2"/>
          <c:order val="2"/>
          <c:tx>
            <c:strRef>
              <c:f>Germany_EV_new!$A$17</c:f>
              <c:strCache>
                <c:ptCount val="1"/>
                <c:pt idx="0">
                  <c:v>Proft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Germany_EV_new!$B$6:$E$6</c:f>
              <c:strCache>
                <c:ptCount val="4"/>
                <c:pt idx="0">
                  <c:v>DA</c:v>
                </c:pt>
                <c:pt idx="1">
                  <c:v>DA+ID</c:v>
                </c:pt>
                <c:pt idx="2">
                  <c:v>DA+ID+SCR</c:v>
                </c:pt>
                <c:pt idx="3">
                  <c:v>DA+RT+SCR+PCR</c:v>
                </c:pt>
              </c:strCache>
            </c:strRef>
          </c:cat>
          <c:val>
            <c:numRef>
              <c:f>Germany_EV_new!$B$17:$E$17</c:f>
              <c:numCache>
                <c:formatCode>0.00</c:formatCode>
                <c:ptCount val="4"/>
                <c:pt idx="0">
                  <c:v>-0.0774155096370516</c:v>
                </c:pt>
                <c:pt idx="1">
                  <c:v>-0.0290586783837633</c:v>
                </c:pt>
                <c:pt idx="2">
                  <c:v>0.181320028183185</c:v>
                </c:pt>
                <c:pt idx="3">
                  <c:v>0.335692356830468</c:v>
                </c:pt>
              </c:numCache>
            </c:numRef>
          </c:val>
        </c:ser>
        <c:dLbls>
          <c:dLblPos val="outEnd"/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8688768"/>
        <c:axId val="1695655568"/>
      </c:barChart>
      <c:catAx>
        <c:axId val="1548688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95655568"/>
        <c:crosses val="autoZero"/>
        <c:auto val="1"/>
        <c:lblAlgn val="ctr"/>
        <c:lblOffset val="100"/>
        <c:noMultiLvlLbl val="0"/>
      </c:catAx>
      <c:valAx>
        <c:axId val="16956555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 sz="900"/>
                  <a:t>USD/MWh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baseline="0">
                  <a:solidFill>
                    <a:sysClr val="windowText" lastClr="000000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0.0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548688768"/>
        <c:crosses val="autoZero"/>
        <c:crossBetween val="between"/>
        <c:majorUnit val="0.2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PJM_EV!$A$7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PJM_EV!$B$6:$E$6</c:f>
              <c:strCache>
                <c:ptCount val="4"/>
                <c:pt idx="0">
                  <c:v>DA</c:v>
                </c:pt>
                <c:pt idx="1">
                  <c:v>DA+RT</c:v>
                </c:pt>
                <c:pt idx="2">
                  <c:v>DA+RT+RegD</c:v>
                </c:pt>
                <c:pt idx="3">
                  <c:v>DA+RT+RegA</c:v>
                </c:pt>
              </c:strCache>
            </c:strRef>
          </c:cat>
          <c:val>
            <c:numRef>
              <c:f>PJM_EV!$B$7:$E$7</c:f>
              <c:numCache>
                <c:formatCode>0.000</c:formatCode>
                <c:ptCount val="4"/>
                <c:pt idx="0">
                  <c:v>0.00523455620705388</c:v>
                </c:pt>
                <c:pt idx="1">
                  <c:v>0.0143168617889275</c:v>
                </c:pt>
                <c:pt idx="2">
                  <c:v>0.0669463906243945</c:v>
                </c:pt>
                <c:pt idx="3">
                  <c:v>0.0586242313946118</c:v>
                </c:pt>
              </c:numCache>
            </c:numRef>
          </c:val>
        </c:ser>
        <c:ser>
          <c:idx val="1"/>
          <c:order val="1"/>
          <c:tx>
            <c:strRef>
              <c:f>PJM_EV!$A$8</c:f>
              <c:strCache>
                <c:ptCount val="1"/>
                <c:pt idx="0">
                  <c:v>Implicit charging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PJM_EV!$B$6:$E$6</c:f>
              <c:strCache>
                <c:ptCount val="4"/>
                <c:pt idx="0">
                  <c:v>DA</c:v>
                </c:pt>
                <c:pt idx="1">
                  <c:v>DA+RT</c:v>
                </c:pt>
                <c:pt idx="2">
                  <c:v>DA+RT+RegD</c:v>
                </c:pt>
                <c:pt idx="3">
                  <c:v>DA+RT+RegA</c:v>
                </c:pt>
              </c:strCache>
            </c:strRef>
          </c:cat>
          <c:val>
            <c:numRef>
              <c:f>PJM_EV!$B$8:$E$8</c:f>
              <c:numCache>
                <c:formatCode>0.000</c:formatCode>
                <c:ptCount val="4"/>
                <c:pt idx="0">
                  <c:v>-0.00399643467975047</c:v>
                </c:pt>
                <c:pt idx="1">
                  <c:v>-0.00399643467975047</c:v>
                </c:pt>
                <c:pt idx="2">
                  <c:v>-0.00399643467975047</c:v>
                </c:pt>
                <c:pt idx="3">
                  <c:v>-0.00399643467975047</c:v>
                </c:pt>
              </c:numCache>
            </c:numRef>
          </c:val>
        </c:ser>
        <c:ser>
          <c:idx val="2"/>
          <c:order val="2"/>
          <c:tx>
            <c:v>Profit (positive)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PJM_EV!$B$6:$E$6</c:f>
              <c:strCache>
                <c:ptCount val="4"/>
                <c:pt idx="0">
                  <c:v>DA</c:v>
                </c:pt>
                <c:pt idx="1">
                  <c:v>DA+RT</c:v>
                </c:pt>
                <c:pt idx="2">
                  <c:v>DA+RT+RegD</c:v>
                </c:pt>
                <c:pt idx="3">
                  <c:v>DA+RT+RegA</c:v>
                </c:pt>
              </c:strCache>
            </c:strRef>
          </c:cat>
          <c:val>
            <c:numRef>
              <c:f>PJM_EV!$B$9:$E$9</c:f>
              <c:numCache>
                <c:formatCode>0.000</c:formatCode>
                <c:ptCount val="4"/>
                <c:pt idx="0">
                  <c:v>-0.0028583180366643</c:v>
                </c:pt>
                <c:pt idx="1">
                  <c:v>0.00252460710482184</c:v>
                </c:pt>
                <c:pt idx="2">
                  <c:v>0.058798827205787</c:v>
                </c:pt>
                <c:pt idx="3">
                  <c:v>0.0507442553694666</c:v>
                </c:pt>
              </c:numCache>
            </c:numRef>
          </c:val>
        </c:ser>
        <c:ser>
          <c:idx val="3"/>
          <c:order val="3"/>
          <c:tx>
            <c:v>Profit (negative)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PJM_EV!$B$6:$E$6</c:f>
              <c:strCache>
                <c:ptCount val="4"/>
                <c:pt idx="0">
                  <c:v>DA</c:v>
                </c:pt>
                <c:pt idx="1">
                  <c:v>DA+RT</c:v>
                </c:pt>
                <c:pt idx="2">
                  <c:v>DA+RT+RegD</c:v>
                </c:pt>
                <c:pt idx="3">
                  <c:v>DA+RT+RegA</c:v>
                </c:pt>
              </c:strCache>
            </c:strRef>
          </c:cat>
          <c:val>
            <c:numRef>
              <c:f>PJM_EV!$B$10:$E$10</c:f>
              <c:numCache>
                <c:formatCode>0.000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4085696"/>
        <c:axId val="1548556384"/>
      </c:barChart>
      <c:catAx>
        <c:axId val="1654085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548556384"/>
        <c:crosses val="autoZero"/>
        <c:auto val="1"/>
        <c:lblAlgn val="ctr"/>
        <c:lblOffset val="100"/>
        <c:noMultiLvlLbl val="0"/>
      </c:catAx>
      <c:valAx>
        <c:axId val="154855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54085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PJM_EV!$A$7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PJM_EV!$B$6:$E$6</c:f>
              <c:strCache>
                <c:ptCount val="4"/>
                <c:pt idx="0">
                  <c:v>DA</c:v>
                </c:pt>
                <c:pt idx="1">
                  <c:v>DA+RT</c:v>
                </c:pt>
                <c:pt idx="2">
                  <c:v>DA+RT+RegD</c:v>
                </c:pt>
                <c:pt idx="3">
                  <c:v>DA+RT+RegA</c:v>
                </c:pt>
              </c:strCache>
            </c:strRef>
          </c:cat>
          <c:val>
            <c:numRef>
              <c:f>PJM_EV!$B$7:$E$7</c:f>
              <c:numCache>
                <c:formatCode>0.000</c:formatCode>
                <c:ptCount val="4"/>
                <c:pt idx="0">
                  <c:v>0.00523455620705388</c:v>
                </c:pt>
                <c:pt idx="1">
                  <c:v>0.0143168617889275</c:v>
                </c:pt>
                <c:pt idx="2">
                  <c:v>0.0669463906243945</c:v>
                </c:pt>
                <c:pt idx="3">
                  <c:v>0.0586242313946118</c:v>
                </c:pt>
              </c:numCache>
            </c:numRef>
          </c:val>
        </c:ser>
        <c:ser>
          <c:idx val="1"/>
          <c:order val="1"/>
          <c:tx>
            <c:strRef>
              <c:f>PJM_EV!$A$8</c:f>
              <c:strCache>
                <c:ptCount val="1"/>
                <c:pt idx="0">
                  <c:v>Implicit charging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PJM_EV!$B$6:$E$6</c:f>
              <c:strCache>
                <c:ptCount val="4"/>
                <c:pt idx="0">
                  <c:v>DA</c:v>
                </c:pt>
                <c:pt idx="1">
                  <c:v>DA+RT</c:v>
                </c:pt>
                <c:pt idx="2">
                  <c:v>DA+RT+RegD</c:v>
                </c:pt>
                <c:pt idx="3">
                  <c:v>DA+RT+RegA</c:v>
                </c:pt>
              </c:strCache>
            </c:strRef>
          </c:cat>
          <c:val>
            <c:numRef>
              <c:f>PJM_EV!$B$8:$E$8</c:f>
              <c:numCache>
                <c:formatCode>0.000</c:formatCode>
                <c:ptCount val="4"/>
                <c:pt idx="0">
                  <c:v>-0.00399643467975047</c:v>
                </c:pt>
                <c:pt idx="1">
                  <c:v>-0.00399643467975047</c:v>
                </c:pt>
                <c:pt idx="2">
                  <c:v>-0.00399643467975047</c:v>
                </c:pt>
                <c:pt idx="3">
                  <c:v>-0.00399643467975047</c:v>
                </c:pt>
              </c:numCache>
            </c:numRef>
          </c:val>
        </c:ser>
        <c:ser>
          <c:idx val="2"/>
          <c:order val="2"/>
          <c:tx>
            <c:strRef>
              <c:f>PJM_EV!$A$9</c:f>
              <c:strCache>
                <c:ptCount val="1"/>
                <c:pt idx="0">
                  <c:v>Proft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PJM_EV!$B$6:$E$6</c:f>
              <c:strCache>
                <c:ptCount val="4"/>
                <c:pt idx="0">
                  <c:v>DA</c:v>
                </c:pt>
                <c:pt idx="1">
                  <c:v>DA+RT</c:v>
                </c:pt>
                <c:pt idx="2">
                  <c:v>DA+RT+RegD</c:v>
                </c:pt>
                <c:pt idx="3">
                  <c:v>DA+RT+RegA</c:v>
                </c:pt>
              </c:strCache>
            </c:strRef>
          </c:cat>
          <c:val>
            <c:numRef>
              <c:f>PJM_EV!$B$9:$E$9</c:f>
              <c:numCache>
                <c:formatCode>0.000</c:formatCode>
                <c:ptCount val="4"/>
                <c:pt idx="0">
                  <c:v>-0.0028583180366643</c:v>
                </c:pt>
                <c:pt idx="1">
                  <c:v>0.00252460710482184</c:v>
                </c:pt>
                <c:pt idx="2">
                  <c:v>0.058798827205787</c:v>
                </c:pt>
                <c:pt idx="3">
                  <c:v>0.0507442553694666</c:v>
                </c:pt>
              </c:numCache>
            </c:numRef>
          </c:val>
        </c:ser>
        <c:dLbls>
          <c:dLblPos val="outEnd"/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4755200"/>
        <c:axId val="1569332016"/>
      </c:barChart>
      <c:catAx>
        <c:axId val="1574755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569332016"/>
        <c:crosses val="autoZero"/>
        <c:auto val="1"/>
        <c:lblAlgn val="ctr"/>
        <c:lblOffset val="100"/>
        <c:noMultiLvlLbl val="0"/>
      </c:catAx>
      <c:valAx>
        <c:axId val="15693320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 sz="900"/>
                  <a:t>USD/MWh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baseline="0">
                  <a:solidFill>
                    <a:sysClr val="windowText" lastClr="000000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574755200"/>
        <c:crosses val="autoZero"/>
        <c:crossBetween val="between"/>
        <c:majorUnit val="0.02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PJM_EV!$A$11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PJM_EV!$B$6:$E$6</c:f>
              <c:strCache>
                <c:ptCount val="4"/>
                <c:pt idx="0">
                  <c:v>DA</c:v>
                </c:pt>
                <c:pt idx="1">
                  <c:v>DA+RT</c:v>
                </c:pt>
                <c:pt idx="2">
                  <c:v>DA+RT+RegD</c:v>
                </c:pt>
                <c:pt idx="3">
                  <c:v>DA+RT+RegA</c:v>
                </c:pt>
              </c:strCache>
            </c:strRef>
          </c:cat>
          <c:val>
            <c:numRef>
              <c:f>PJM_EV!$B$11:$E$11</c:f>
              <c:numCache>
                <c:formatCode>0.000</c:formatCode>
                <c:ptCount val="4"/>
                <c:pt idx="0">
                  <c:v>0.00901295381633491</c:v>
                </c:pt>
                <c:pt idx="1">
                  <c:v>0.0247497450678881</c:v>
                </c:pt>
                <c:pt idx="2">
                  <c:v>0.077542022412775</c:v>
                </c:pt>
                <c:pt idx="3">
                  <c:v>0.0689535624082186</c:v>
                </c:pt>
              </c:numCache>
            </c:numRef>
          </c:val>
        </c:ser>
        <c:ser>
          <c:idx val="1"/>
          <c:order val="1"/>
          <c:tx>
            <c:strRef>
              <c:f>PJM_EV!$A$12</c:f>
              <c:strCache>
                <c:ptCount val="1"/>
                <c:pt idx="0">
                  <c:v>Implicit charging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PJM_EV!$B$6:$E$6</c:f>
              <c:strCache>
                <c:ptCount val="4"/>
                <c:pt idx="0">
                  <c:v>DA</c:v>
                </c:pt>
                <c:pt idx="1">
                  <c:v>DA+RT</c:v>
                </c:pt>
                <c:pt idx="2">
                  <c:v>DA+RT+RegD</c:v>
                </c:pt>
                <c:pt idx="3">
                  <c:v>DA+RT+RegA</c:v>
                </c:pt>
              </c:strCache>
            </c:strRef>
          </c:cat>
          <c:val>
            <c:numRef>
              <c:f>PJM_EV!$B$12:$E$12</c:f>
              <c:numCache>
                <c:formatCode>0.000</c:formatCode>
                <c:ptCount val="4"/>
                <c:pt idx="0">
                  <c:v>-0.00690963957271889</c:v>
                </c:pt>
                <c:pt idx="1">
                  <c:v>-0.00690963957271889</c:v>
                </c:pt>
                <c:pt idx="2">
                  <c:v>-0.00690963957271889</c:v>
                </c:pt>
                <c:pt idx="3">
                  <c:v>-0.00690963957271889</c:v>
                </c:pt>
              </c:numCache>
            </c:numRef>
          </c:val>
        </c:ser>
        <c:ser>
          <c:idx val="2"/>
          <c:order val="2"/>
          <c:tx>
            <c:strRef>
              <c:f>PJM_EV!$A$13</c:f>
              <c:strCache>
                <c:ptCount val="1"/>
                <c:pt idx="0">
                  <c:v>Proft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PJM_EV!$B$6:$E$6</c:f>
              <c:strCache>
                <c:ptCount val="4"/>
                <c:pt idx="0">
                  <c:v>DA</c:v>
                </c:pt>
                <c:pt idx="1">
                  <c:v>DA+RT</c:v>
                </c:pt>
                <c:pt idx="2">
                  <c:v>DA+RT+RegD</c:v>
                </c:pt>
                <c:pt idx="3">
                  <c:v>DA+RT+RegA</c:v>
                </c:pt>
              </c:strCache>
            </c:strRef>
          </c:cat>
          <c:val>
            <c:numRef>
              <c:f>PJM_EV!$B$13:$E$13</c:f>
              <c:numCache>
                <c:formatCode>0.000</c:formatCode>
                <c:ptCount val="4"/>
                <c:pt idx="0">
                  <c:v>-0.00495887322602775</c:v>
                </c:pt>
                <c:pt idx="1">
                  <c:v>0.00436151502130975</c:v>
                </c:pt>
                <c:pt idx="2">
                  <c:v>0.0607262865575479</c:v>
                </c:pt>
                <c:pt idx="3">
                  <c:v>0.0551407367128772</c:v>
                </c:pt>
              </c:numCache>
            </c:numRef>
          </c:val>
        </c:ser>
        <c:dLbls>
          <c:dLblPos val="outEnd"/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41929904"/>
        <c:axId val="2015630928"/>
      </c:barChart>
      <c:catAx>
        <c:axId val="164192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2015630928"/>
        <c:crosses val="autoZero"/>
        <c:auto val="1"/>
        <c:lblAlgn val="ctr"/>
        <c:lblOffset val="100"/>
        <c:noMultiLvlLbl val="0"/>
      </c:catAx>
      <c:valAx>
        <c:axId val="20156309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 sz="900"/>
                  <a:t>USD/MWh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baseline="0">
                  <a:solidFill>
                    <a:sysClr val="windowText" lastClr="000000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4192990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PJM_EV!$A$15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PJM_EV!$B$6:$E$6</c:f>
              <c:strCache>
                <c:ptCount val="4"/>
                <c:pt idx="0">
                  <c:v>DA</c:v>
                </c:pt>
                <c:pt idx="1">
                  <c:v>DA+RT</c:v>
                </c:pt>
                <c:pt idx="2">
                  <c:v>DA+RT+RegD</c:v>
                </c:pt>
                <c:pt idx="3">
                  <c:v>DA+RT+RegA</c:v>
                </c:pt>
              </c:strCache>
            </c:strRef>
          </c:cat>
          <c:val>
            <c:numRef>
              <c:f>PJM_EV!$B$15:$E$15</c:f>
              <c:numCache>
                <c:formatCode>0.000</c:formatCode>
                <c:ptCount val="4"/>
                <c:pt idx="0">
                  <c:v>0.0588277071060362</c:v>
                </c:pt>
                <c:pt idx="1">
                  <c:v>0.171187028132827</c:v>
                </c:pt>
                <c:pt idx="2">
                  <c:v>0.224211907637823</c:v>
                </c:pt>
                <c:pt idx="3">
                  <c:v>0.214734576656499</c:v>
                </c:pt>
              </c:numCache>
            </c:numRef>
          </c:val>
        </c:ser>
        <c:ser>
          <c:idx val="1"/>
          <c:order val="1"/>
          <c:tx>
            <c:strRef>
              <c:f>PJM_EV!$A$16</c:f>
              <c:strCache>
                <c:ptCount val="1"/>
                <c:pt idx="0">
                  <c:v>Implicit charging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PJM_EV!$B$6:$E$6</c:f>
              <c:strCache>
                <c:ptCount val="4"/>
                <c:pt idx="0">
                  <c:v>DA</c:v>
                </c:pt>
                <c:pt idx="1">
                  <c:v>DA+RT</c:v>
                </c:pt>
                <c:pt idx="2">
                  <c:v>DA+RT+RegD</c:v>
                </c:pt>
                <c:pt idx="3">
                  <c:v>DA+RT+RegA</c:v>
                </c:pt>
              </c:strCache>
            </c:strRef>
          </c:cat>
          <c:val>
            <c:numRef>
              <c:f>PJM_EV!$B$16:$E$16</c:f>
              <c:numCache>
                <c:formatCode>0.000</c:formatCode>
                <c:ptCount val="4"/>
                <c:pt idx="0">
                  <c:v>-0.0481150334667765</c:v>
                </c:pt>
                <c:pt idx="1">
                  <c:v>-0.0481150334667765</c:v>
                </c:pt>
                <c:pt idx="2">
                  <c:v>-0.0481150334667765</c:v>
                </c:pt>
                <c:pt idx="3">
                  <c:v>-0.0481150334667765</c:v>
                </c:pt>
              </c:numCache>
            </c:numRef>
          </c:val>
        </c:ser>
        <c:ser>
          <c:idx val="2"/>
          <c:order val="2"/>
          <c:tx>
            <c:strRef>
              <c:f>PJM_EV!$A$17</c:f>
              <c:strCache>
                <c:ptCount val="1"/>
                <c:pt idx="0">
                  <c:v>Proft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</c:dPt>
          <c:cat>
            <c:strRef>
              <c:f>PJM_EV!$B$6:$E$6</c:f>
              <c:strCache>
                <c:ptCount val="4"/>
                <c:pt idx="0">
                  <c:v>DA</c:v>
                </c:pt>
                <c:pt idx="1">
                  <c:v>DA+RT</c:v>
                </c:pt>
                <c:pt idx="2">
                  <c:v>DA+RT+RegD</c:v>
                </c:pt>
                <c:pt idx="3">
                  <c:v>DA+RT+RegA</c:v>
                </c:pt>
              </c:strCache>
            </c:strRef>
          </c:cat>
          <c:val>
            <c:numRef>
              <c:f>PJM_EV!$B$17:$E$17</c:f>
              <c:numCache>
                <c:formatCode>0.000</c:formatCode>
                <c:ptCount val="4"/>
                <c:pt idx="0">
                  <c:v>-0.036260623953222</c:v>
                </c:pt>
                <c:pt idx="1">
                  <c:v>0.0296784882175872</c:v>
                </c:pt>
                <c:pt idx="2">
                  <c:v>0.0861657347316191</c:v>
                </c:pt>
                <c:pt idx="3">
                  <c:v>0.0822639573365981</c:v>
                </c:pt>
              </c:numCache>
            </c:numRef>
          </c:val>
        </c:ser>
        <c:dLbls>
          <c:dLblPos val="outEnd"/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2941088"/>
        <c:axId val="2018887344"/>
      </c:barChart>
      <c:catAx>
        <c:axId val="1952941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2018887344"/>
        <c:crosses val="autoZero"/>
        <c:auto val="1"/>
        <c:lblAlgn val="ctr"/>
        <c:lblOffset val="100"/>
        <c:noMultiLvlLbl val="0"/>
      </c:catAx>
      <c:valAx>
        <c:axId val="20188873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 sz="900"/>
                  <a:t>USD/MWh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baseline="0">
                  <a:solidFill>
                    <a:sysClr val="windowText" lastClr="000000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numFmt formatCode="0.0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52941088"/>
        <c:crosses val="autoZero"/>
        <c:crossBetween val="between"/>
        <c:majorUnit val="0.1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NSW_EV!$A$7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NSW_EV!$B$6:$E$6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NSW_EV!$B$7:$E$7</c:f>
              <c:numCache>
                <c:formatCode>0.0</c:formatCode>
                <c:ptCount val="4"/>
                <c:pt idx="0" formatCode="0.000">
                  <c:v>0.0388195621533631</c:v>
                </c:pt>
              </c:numCache>
            </c:numRef>
          </c:val>
        </c:ser>
        <c:ser>
          <c:idx val="1"/>
          <c:order val="1"/>
          <c:tx>
            <c:strRef>
              <c:f>NSW_EV!$A$8</c:f>
              <c:strCache>
                <c:ptCount val="1"/>
                <c:pt idx="0">
                  <c:v>Implicit charging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NSW_EV!$B$6:$E$6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NSW_EV!$B$8:$E$8</c:f>
              <c:numCache>
                <c:formatCode>0.0</c:formatCode>
                <c:ptCount val="4"/>
                <c:pt idx="0" formatCode="0.000">
                  <c:v>-0.00797697329974633</c:v>
                </c:pt>
              </c:numCache>
            </c:numRef>
          </c:val>
        </c:ser>
        <c:ser>
          <c:idx val="2"/>
          <c:order val="2"/>
          <c:tx>
            <c:strRef>
              <c:f>NSW_EV!$A$9</c:f>
              <c:strCache>
                <c:ptCount val="1"/>
                <c:pt idx="0">
                  <c:v>Proft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NSW_EV!$B$6:$E$6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NSW_EV!$B$9:$E$9</c:f>
              <c:numCache>
                <c:formatCode>0.0</c:formatCode>
                <c:ptCount val="4"/>
                <c:pt idx="0" formatCode="0.000">
                  <c:v>0.0225273191146423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9237904"/>
        <c:axId val="2016324528"/>
      </c:barChart>
      <c:catAx>
        <c:axId val="156923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2016324528"/>
        <c:crosses val="autoZero"/>
        <c:auto val="1"/>
        <c:lblAlgn val="ctr"/>
        <c:lblOffset val="100"/>
        <c:noMultiLvlLbl val="0"/>
      </c:catAx>
      <c:valAx>
        <c:axId val="201632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56923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NSW_EV!$A$7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NSW_EV!$B$6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NSW_EV!$B$7</c:f>
              <c:numCache>
                <c:formatCode>0.000</c:formatCode>
                <c:ptCount val="1"/>
                <c:pt idx="0">
                  <c:v>0.0388195621533631</c:v>
                </c:pt>
              </c:numCache>
            </c:numRef>
          </c:val>
        </c:ser>
        <c:ser>
          <c:idx val="1"/>
          <c:order val="1"/>
          <c:tx>
            <c:strRef>
              <c:f>NSW_EV!$A$8</c:f>
              <c:strCache>
                <c:ptCount val="1"/>
                <c:pt idx="0">
                  <c:v>Implicit charging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NSW_EV!$B$6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NSW_EV!$B$8</c:f>
              <c:numCache>
                <c:formatCode>0.000</c:formatCode>
                <c:ptCount val="1"/>
                <c:pt idx="0">
                  <c:v>-0.00797697329974633</c:v>
                </c:pt>
              </c:numCache>
            </c:numRef>
          </c:val>
        </c:ser>
        <c:ser>
          <c:idx val="2"/>
          <c:order val="2"/>
          <c:tx>
            <c:strRef>
              <c:f>NSW_EV!$A$9</c:f>
              <c:strCache>
                <c:ptCount val="1"/>
                <c:pt idx="0">
                  <c:v>Proft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NSW_EV!$B$6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NSW_EV!$B$9</c:f>
              <c:numCache>
                <c:formatCode>0.000</c:formatCode>
                <c:ptCount val="1"/>
                <c:pt idx="0">
                  <c:v>0.0225273191146423</c:v>
                </c:pt>
              </c:numCache>
            </c:numRef>
          </c:val>
        </c:ser>
        <c:dLbls>
          <c:dLblPos val="outEnd"/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30614448"/>
        <c:axId val="1735299152"/>
      </c:barChart>
      <c:catAx>
        <c:axId val="173061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735299152"/>
        <c:crosses val="autoZero"/>
        <c:auto val="1"/>
        <c:lblAlgn val="ctr"/>
        <c:lblOffset val="100"/>
        <c:noMultiLvlLbl val="0"/>
      </c:catAx>
      <c:valAx>
        <c:axId val="17352991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 sz="900"/>
                  <a:t>USD/MWh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baseline="0">
                  <a:solidFill>
                    <a:sysClr val="windowText" lastClr="000000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730614448"/>
        <c:crosses val="autoZero"/>
        <c:crossBetween val="between"/>
        <c:majorUnit val="0.02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NSW_EV!$A$11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NSW_EV!$B$6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NSW_EV!$B$11</c:f>
              <c:numCache>
                <c:formatCode>0.000</c:formatCode>
                <c:ptCount val="1"/>
                <c:pt idx="0">
                  <c:v>0.0671171192186849</c:v>
                </c:pt>
              </c:numCache>
            </c:numRef>
          </c:val>
        </c:ser>
        <c:ser>
          <c:idx val="1"/>
          <c:order val="1"/>
          <c:tx>
            <c:strRef>
              <c:f>NSW_EV!$A$12</c:f>
              <c:strCache>
                <c:ptCount val="1"/>
                <c:pt idx="0">
                  <c:v>Implicit charging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NSW_EV!$B$6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NSW_EV!$B$12</c:f>
              <c:numCache>
                <c:formatCode>0.000</c:formatCode>
                <c:ptCount val="1"/>
                <c:pt idx="0">
                  <c:v>-0.0137917956376784</c:v>
                </c:pt>
              </c:numCache>
            </c:numRef>
          </c:val>
        </c:ser>
        <c:ser>
          <c:idx val="2"/>
          <c:order val="2"/>
          <c:tx>
            <c:strRef>
              <c:f>NSW_EV!$A$13</c:f>
              <c:strCache>
                <c:ptCount val="1"/>
                <c:pt idx="0">
                  <c:v>Proft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NSW_EV!$B$6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NSW_EV!$B$13</c:f>
              <c:numCache>
                <c:formatCode>0.000</c:formatCode>
                <c:ptCount val="1"/>
                <c:pt idx="0">
                  <c:v>0.038948629990249</c:v>
                </c:pt>
              </c:numCache>
            </c:numRef>
          </c:val>
        </c:ser>
        <c:dLbls>
          <c:dLblPos val="outEnd"/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3883712"/>
        <c:axId val="2055704320"/>
      </c:barChart>
      <c:catAx>
        <c:axId val="1683883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2055704320"/>
        <c:crosses val="autoZero"/>
        <c:auto val="1"/>
        <c:lblAlgn val="ctr"/>
        <c:lblOffset val="100"/>
        <c:noMultiLvlLbl val="0"/>
      </c:catAx>
      <c:valAx>
        <c:axId val="20557043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 sz="900"/>
                  <a:t>USD/MWh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baseline="0">
                  <a:solidFill>
                    <a:sysClr val="windowText" lastClr="000000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68388371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NSW_EV!$A$15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</c:dPt>
          <c:cat>
            <c:strRef>
              <c:f>NSW_EV!$B$6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NSW_EV!$B$15</c:f>
              <c:numCache>
                <c:formatCode>0.000</c:formatCode>
                <c:ptCount val="1"/>
                <c:pt idx="0">
                  <c:v>0.467367711935506</c:v>
                </c:pt>
              </c:numCache>
            </c:numRef>
          </c:val>
        </c:ser>
        <c:ser>
          <c:idx val="1"/>
          <c:order val="1"/>
          <c:tx>
            <c:strRef>
              <c:f>NSW_EV!$A$16</c:f>
              <c:strCache>
                <c:ptCount val="1"/>
                <c:pt idx="0">
                  <c:v>Implicit charging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NSW_EV!$B$6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NSW_EV!$B$16</c:f>
              <c:numCache>
                <c:formatCode>0.000</c:formatCode>
                <c:ptCount val="1"/>
                <c:pt idx="0">
                  <c:v>-0.0960386864886386</c:v>
                </c:pt>
              </c:numCache>
            </c:numRef>
          </c:val>
        </c:ser>
        <c:ser>
          <c:idx val="2"/>
          <c:order val="2"/>
          <c:tx>
            <c:strRef>
              <c:f>NSW_EV!$A$17</c:f>
              <c:strCache>
                <c:ptCount val="1"/>
                <c:pt idx="0">
                  <c:v>Proft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NSW_EV!$B$6</c:f>
              <c:strCache>
                <c:ptCount val="1"/>
                <c:pt idx="0">
                  <c:v>RT</c:v>
                </c:pt>
              </c:strCache>
            </c:strRef>
          </c:cat>
          <c:val>
            <c:numRef>
              <c:f>NSW_EV!$B$17</c:f>
              <c:numCache>
                <c:formatCode>0.000</c:formatCode>
                <c:ptCount val="1"/>
                <c:pt idx="0">
                  <c:v>0.27121742252158</c:v>
                </c:pt>
              </c:numCache>
            </c:numRef>
          </c:val>
        </c:ser>
        <c:dLbls>
          <c:dLblPos val="outEnd"/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87877792"/>
        <c:axId val="2003248032"/>
      </c:barChart>
      <c:catAx>
        <c:axId val="1987877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2003248032"/>
        <c:crosses val="autoZero"/>
        <c:auto val="1"/>
        <c:lblAlgn val="ctr"/>
        <c:lblOffset val="100"/>
        <c:noMultiLvlLbl val="0"/>
      </c:catAx>
      <c:valAx>
        <c:axId val="20032480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Helvetica" charset="0"/>
                    <a:ea typeface="Helvetica" charset="0"/>
                    <a:cs typeface="Helvetica" charset="0"/>
                  </a:defRPr>
                </a:pPr>
                <a:r>
                  <a:rPr lang="en-US" sz="900"/>
                  <a:t>USD/MWh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baseline="0">
                  <a:solidFill>
                    <a:sysClr val="windowText" lastClr="000000"/>
                  </a:solidFill>
                  <a:latin typeface="Helvetica" charset="0"/>
                  <a:ea typeface="Helvetica" charset="0"/>
                  <a:cs typeface="Helvetica" charset="0"/>
                </a:defRPr>
              </a:pPr>
              <a:endParaRPr lang="en-US"/>
            </a:p>
          </c:txPr>
        </c:title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Helvetica" charset="0"/>
                <a:ea typeface="Helvetica" charset="0"/>
                <a:cs typeface="Helvetica" charset="0"/>
              </a:defRPr>
            </a:pPr>
            <a:endParaRPr lang="en-US"/>
          </a:p>
        </c:txPr>
        <c:crossAx val="1987877792"/>
        <c:crosses val="autoZero"/>
        <c:crossBetween val="between"/>
        <c:majorUnit val="0.2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Helvetica" charset="0"/>
          <a:ea typeface="Helvetica" charset="0"/>
          <a:cs typeface="Helvetica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5" Type="http://schemas.openxmlformats.org/officeDocument/2006/relationships/chart" Target="../charts/chart7.xml"/><Relationship Id="rId6" Type="http://schemas.openxmlformats.org/officeDocument/2006/relationships/chart" Target="../charts/chart8.xml"/><Relationship Id="rId7" Type="http://schemas.openxmlformats.org/officeDocument/2006/relationships/chart" Target="../charts/chart9.xml"/><Relationship Id="rId8" Type="http://schemas.openxmlformats.org/officeDocument/2006/relationships/chart" Target="../charts/chart10.xml"/><Relationship Id="rId9" Type="http://schemas.openxmlformats.org/officeDocument/2006/relationships/chart" Target="../charts/chart11.xml"/><Relationship Id="rId10" Type="http://schemas.openxmlformats.org/officeDocument/2006/relationships/chart" Target="../charts/chart12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4" Type="http://schemas.openxmlformats.org/officeDocument/2006/relationships/chart" Target="../charts/chart16.xml"/><Relationship Id="rId5" Type="http://schemas.openxmlformats.org/officeDocument/2006/relationships/chart" Target="../charts/chart17.xml"/><Relationship Id="rId6" Type="http://schemas.openxmlformats.org/officeDocument/2006/relationships/chart" Target="../charts/chart18.xml"/><Relationship Id="rId7" Type="http://schemas.openxmlformats.org/officeDocument/2006/relationships/chart" Target="../charts/chart19.xml"/><Relationship Id="rId1" Type="http://schemas.openxmlformats.org/officeDocument/2006/relationships/chart" Target="../charts/chart13.xml"/><Relationship Id="rId2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4" Type="http://schemas.openxmlformats.org/officeDocument/2006/relationships/chart" Target="../charts/chart23.xml"/><Relationship Id="rId5" Type="http://schemas.openxmlformats.org/officeDocument/2006/relationships/chart" Target="../charts/chart24.xml"/><Relationship Id="rId6" Type="http://schemas.openxmlformats.org/officeDocument/2006/relationships/chart" Target="../charts/chart25.xml"/><Relationship Id="rId7" Type="http://schemas.openxmlformats.org/officeDocument/2006/relationships/chart" Target="../charts/chart26.xml"/><Relationship Id="rId8" Type="http://schemas.openxmlformats.org/officeDocument/2006/relationships/chart" Target="../charts/chart27.xml"/><Relationship Id="rId1" Type="http://schemas.openxmlformats.org/officeDocument/2006/relationships/chart" Target="../charts/chart20.xml"/><Relationship Id="rId2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4" Type="http://schemas.openxmlformats.org/officeDocument/2006/relationships/chart" Target="../charts/chart31.xml"/><Relationship Id="rId5" Type="http://schemas.openxmlformats.org/officeDocument/2006/relationships/chart" Target="../charts/chart32.xml"/><Relationship Id="rId6" Type="http://schemas.openxmlformats.org/officeDocument/2006/relationships/chart" Target="../charts/chart33.xml"/><Relationship Id="rId1" Type="http://schemas.openxmlformats.org/officeDocument/2006/relationships/chart" Target="../charts/chart28.xml"/><Relationship Id="rId2" Type="http://schemas.openxmlformats.org/officeDocument/2006/relationships/chart" Target="../charts/chart2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4" Type="http://schemas.openxmlformats.org/officeDocument/2006/relationships/chart" Target="../charts/chart37.xml"/><Relationship Id="rId5" Type="http://schemas.openxmlformats.org/officeDocument/2006/relationships/chart" Target="../charts/chart38.xml"/><Relationship Id="rId6" Type="http://schemas.openxmlformats.org/officeDocument/2006/relationships/chart" Target="../charts/chart39.xml"/><Relationship Id="rId7" Type="http://schemas.openxmlformats.org/officeDocument/2006/relationships/chart" Target="../charts/chart40.xml"/><Relationship Id="rId8" Type="http://schemas.openxmlformats.org/officeDocument/2006/relationships/chart" Target="../charts/chart41.xml"/><Relationship Id="rId1" Type="http://schemas.openxmlformats.org/officeDocument/2006/relationships/chart" Target="../charts/chart34.xml"/><Relationship Id="rId2" Type="http://schemas.openxmlformats.org/officeDocument/2006/relationships/chart" Target="../charts/chart35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4" Type="http://schemas.openxmlformats.org/officeDocument/2006/relationships/chart" Target="../charts/chart45.xml"/><Relationship Id="rId5" Type="http://schemas.openxmlformats.org/officeDocument/2006/relationships/chart" Target="../charts/chart46.xml"/><Relationship Id="rId6" Type="http://schemas.openxmlformats.org/officeDocument/2006/relationships/chart" Target="../charts/chart47.xml"/><Relationship Id="rId7" Type="http://schemas.openxmlformats.org/officeDocument/2006/relationships/chart" Target="../charts/chart48.xml"/><Relationship Id="rId8" Type="http://schemas.openxmlformats.org/officeDocument/2006/relationships/chart" Target="../charts/chart49.xml"/><Relationship Id="rId9" Type="http://schemas.openxmlformats.org/officeDocument/2006/relationships/chart" Target="../charts/chart50.xml"/><Relationship Id="rId1" Type="http://schemas.openxmlformats.org/officeDocument/2006/relationships/chart" Target="../charts/chart42.xml"/><Relationship Id="rId2" Type="http://schemas.openxmlformats.org/officeDocument/2006/relationships/chart" Target="../charts/chart4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.xml"/><Relationship Id="rId4" Type="http://schemas.openxmlformats.org/officeDocument/2006/relationships/chart" Target="../charts/chart54.xml"/><Relationship Id="rId5" Type="http://schemas.openxmlformats.org/officeDocument/2006/relationships/chart" Target="../charts/chart55.xml"/><Relationship Id="rId6" Type="http://schemas.openxmlformats.org/officeDocument/2006/relationships/chart" Target="../charts/chart56.xml"/><Relationship Id="rId1" Type="http://schemas.openxmlformats.org/officeDocument/2006/relationships/chart" Target="../charts/chart51.xml"/><Relationship Id="rId2" Type="http://schemas.openxmlformats.org/officeDocument/2006/relationships/chart" Target="../charts/chart5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4" Type="http://schemas.openxmlformats.org/officeDocument/2006/relationships/chart" Target="../charts/chart60.xml"/><Relationship Id="rId1" Type="http://schemas.openxmlformats.org/officeDocument/2006/relationships/chart" Target="../charts/chart57.xml"/><Relationship Id="rId2" Type="http://schemas.openxmlformats.org/officeDocument/2006/relationships/chart" Target="../charts/chart58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4" Type="http://schemas.openxmlformats.org/officeDocument/2006/relationships/chart" Target="../charts/chart64.xml"/><Relationship Id="rId5" Type="http://schemas.openxmlformats.org/officeDocument/2006/relationships/chart" Target="../charts/chart65.xml"/><Relationship Id="rId6" Type="http://schemas.openxmlformats.org/officeDocument/2006/relationships/chart" Target="../charts/chart66.xml"/><Relationship Id="rId1" Type="http://schemas.openxmlformats.org/officeDocument/2006/relationships/chart" Target="../charts/chart61.xml"/><Relationship Id="rId2" Type="http://schemas.openxmlformats.org/officeDocument/2006/relationships/chart" Target="../charts/chart62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4" Type="http://schemas.openxmlformats.org/officeDocument/2006/relationships/chart" Target="../charts/chart70.xml"/><Relationship Id="rId1" Type="http://schemas.openxmlformats.org/officeDocument/2006/relationships/chart" Target="../charts/chart67.xml"/><Relationship Id="rId2" Type="http://schemas.openxmlformats.org/officeDocument/2006/relationships/chart" Target="../charts/chart6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3.xml"/><Relationship Id="rId4" Type="http://schemas.openxmlformats.org/officeDocument/2006/relationships/chart" Target="../charts/chart74.xml"/><Relationship Id="rId1" Type="http://schemas.openxmlformats.org/officeDocument/2006/relationships/chart" Target="../charts/chart71.xml"/><Relationship Id="rId2" Type="http://schemas.openxmlformats.org/officeDocument/2006/relationships/chart" Target="../charts/chart72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7.xml"/><Relationship Id="rId4" Type="http://schemas.openxmlformats.org/officeDocument/2006/relationships/chart" Target="../charts/chart78.xml"/><Relationship Id="rId1" Type="http://schemas.openxmlformats.org/officeDocument/2006/relationships/chart" Target="../charts/chart75.xml"/><Relationship Id="rId2" Type="http://schemas.openxmlformats.org/officeDocument/2006/relationships/chart" Target="../charts/chart76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4" Type="http://schemas.openxmlformats.org/officeDocument/2006/relationships/chart" Target="../charts/chart82.xml"/><Relationship Id="rId1" Type="http://schemas.openxmlformats.org/officeDocument/2006/relationships/chart" Target="../charts/chart79.xml"/><Relationship Id="rId2" Type="http://schemas.openxmlformats.org/officeDocument/2006/relationships/chart" Target="../charts/chart8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806450</xdr:colOff>
      <xdr:row>3</xdr:row>
      <xdr:rowOff>146050</xdr:rowOff>
    </xdr:from>
    <xdr:to>
      <xdr:col>11</xdr:col>
      <xdr:colOff>425450</xdr:colOff>
      <xdr:row>17</xdr:row>
      <xdr:rowOff>44450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755650</xdr:colOff>
      <xdr:row>19</xdr:row>
      <xdr:rowOff>69850</xdr:rowOff>
    </xdr:from>
    <xdr:to>
      <xdr:col>11</xdr:col>
      <xdr:colOff>374650</xdr:colOff>
      <xdr:row>32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647700</xdr:colOff>
      <xdr:row>38</xdr:row>
      <xdr:rowOff>0</xdr:rowOff>
    </xdr:from>
    <xdr:to>
      <xdr:col>14</xdr:col>
      <xdr:colOff>0</xdr:colOff>
      <xdr:row>65</xdr:row>
      <xdr:rowOff>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114300</xdr:colOff>
      <xdr:row>6</xdr:row>
      <xdr:rowOff>158750</xdr:rowOff>
    </xdr:from>
    <xdr:to>
      <xdr:col>12</xdr:col>
      <xdr:colOff>558800</xdr:colOff>
      <xdr:row>20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</xdr:colOff>
      <xdr:row>38</xdr:row>
      <xdr:rowOff>0</xdr:rowOff>
    </xdr:from>
    <xdr:to>
      <xdr:col>12</xdr:col>
      <xdr:colOff>241300</xdr:colOff>
      <xdr:row>65</xdr:row>
      <xdr:rowOff>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520700</xdr:colOff>
      <xdr:row>38</xdr:row>
      <xdr:rowOff>12700</xdr:rowOff>
    </xdr:from>
    <xdr:to>
      <xdr:col>8</xdr:col>
      <xdr:colOff>698500</xdr:colOff>
      <xdr:row>65</xdr:row>
      <xdr:rowOff>12700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342900</xdr:colOff>
      <xdr:row>38</xdr:row>
      <xdr:rowOff>19050</xdr:rowOff>
    </xdr:from>
    <xdr:to>
      <xdr:col>7</xdr:col>
      <xdr:colOff>120650</xdr:colOff>
      <xdr:row>65</xdr:row>
      <xdr:rowOff>19050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292100</xdr:colOff>
      <xdr:row>38</xdr:row>
      <xdr:rowOff>12700</xdr:rowOff>
    </xdr:from>
    <xdr:to>
      <xdr:col>10</xdr:col>
      <xdr:colOff>469900</xdr:colOff>
      <xdr:row>65</xdr:row>
      <xdr:rowOff>12700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330200</xdr:colOff>
      <xdr:row>24</xdr:row>
      <xdr:rowOff>171450</xdr:rowOff>
    </xdr:from>
    <xdr:to>
      <xdr:col>17</xdr:col>
      <xdr:colOff>165100</xdr:colOff>
      <xdr:row>38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25400</xdr:colOff>
      <xdr:row>32</xdr:row>
      <xdr:rowOff>44450</xdr:rowOff>
    </xdr:from>
    <xdr:to>
      <xdr:col>23</xdr:col>
      <xdr:colOff>469900</xdr:colOff>
      <xdr:row>45</xdr:row>
      <xdr:rowOff>146050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406400</xdr:colOff>
      <xdr:row>37</xdr:row>
      <xdr:rowOff>190500</xdr:rowOff>
    </xdr:from>
    <xdr:to>
      <xdr:col>15</xdr:col>
      <xdr:colOff>584200</xdr:colOff>
      <xdr:row>64</xdr:row>
      <xdr:rowOff>190500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152400</xdr:colOff>
      <xdr:row>37</xdr:row>
      <xdr:rowOff>190500</xdr:rowOff>
    </xdr:from>
    <xdr:to>
      <xdr:col>17</xdr:col>
      <xdr:colOff>330200</xdr:colOff>
      <xdr:row>64</xdr:row>
      <xdr:rowOff>190500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7</xdr:row>
      <xdr:rowOff>38100</xdr:rowOff>
    </xdr:from>
    <xdr:to>
      <xdr:col>7</xdr:col>
      <xdr:colOff>82550</xdr:colOff>
      <xdr:row>29</xdr:row>
      <xdr:rowOff>139700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406400</xdr:colOff>
      <xdr:row>7</xdr:row>
      <xdr:rowOff>25400</xdr:rowOff>
    </xdr:from>
    <xdr:to>
      <xdr:col>8</xdr:col>
      <xdr:colOff>584200</xdr:colOff>
      <xdr:row>29</xdr:row>
      <xdr:rowOff>127000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76200</xdr:colOff>
      <xdr:row>7</xdr:row>
      <xdr:rowOff>12700</xdr:rowOff>
    </xdr:from>
    <xdr:to>
      <xdr:col>10</xdr:col>
      <xdr:colOff>254000</xdr:colOff>
      <xdr:row>29</xdr:row>
      <xdr:rowOff>114300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127000</xdr:colOff>
      <xdr:row>7</xdr:row>
      <xdr:rowOff>38100</xdr:rowOff>
    </xdr:from>
    <xdr:to>
      <xdr:col>3</xdr:col>
      <xdr:colOff>730250</xdr:colOff>
      <xdr:row>29</xdr:row>
      <xdr:rowOff>139700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203200</xdr:colOff>
      <xdr:row>7</xdr:row>
      <xdr:rowOff>12700</xdr:rowOff>
    </xdr:from>
    <xdr:to>
      <xdr:col>5</xdr:col>
      <xdr:colOff>381000</xdr:colOff>
      <xdr:row>29</xdr:row>
      <xdr:rowOff>114300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165100</xdr:colOff>
      <xdr:row>2</xdr:row>
      <xdr:rowOff>63500</xdr:rowOff>
    </xdr:from>
    <xdr:to>
      <xdr:col>10</xdr:col>
      <xdr:colOff>520700</xdr:colOff>
      <xdr:row>6</xdr:row>
      <xdr:rowOff>95250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584200</xdr:colOff>
      <xdr:row>7</xdr:row>
      <xdr:rowOff>63500</xdr:rowOff>
    </xdr:from>
    <xdr:to>
      <xdr:col>11</xdr:col>
      <xdr:colOff>762000</xdr:colOff>
      <xdr:row>29</xdr:row>
      <xdr:rowOff>165100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647700</xdr:colOff>
      <xdr:row>35</xdr:row>
      <xdr:rowOff>114300</xdr:rowOff>
    </xdr:from>
    <xdr:to>
      <xdr:col>14</xdr:col>
      <xdr:colOff>0</xdr:colOff>
      <xdr:row>58</xdr:row>
      <xdr:rowOff>12700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25400</xdr:colOff>
      <xdr:row>6</xdr:row>
      <xdr:rowOff>120650</xdr:rowOff>
    </xdr:from>
    <xdr:to>
      <xdr:col>13</xdr:col>
      <xdr:colOff>469900</xdr:colOff>
      <xdr:row>20</xdr:row>
      <xdr:rowOff>19050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</xdr:colOff>
      <xdr:row>35</xdr:row>
      <xdr:rowOff>114300</xdr:rowOff>
    </xdr:from>
    <xdr:to>
      <xdr:col>12</xdr:col>
      <xdr:colOff>241300</xdr:colOff>
      <xdr:row>58</xdr:row>
      <xdr:rowOff>12700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520700</xdr:colOff>
      <xdr:row>35</xdr:row>
      <xdr:rowOff>127000</xdr:rowOff>
    </xdr:from>
    <xdr:to>
      <xdr:col>8</xdr:col>
      <xdr:colOff>698500</xdr:colOff>
      <xdr:row>58</xdr:row>
      <xdr:rowOff>25400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342900</xdr:colOff>
      <xdr:row>35</xdr:row>
      <xdr:rowOff>133350</xdr:rowOff>
    </xdr:from>
    <xdr:to>
      <xdr:col>7</xdr:col>
      <xdr:colOff>120650</xdr:colOff>
      <xdr:row>58</xdr:row>
      <xdr:rowOff>31750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292100</xdr:colOff>
      <xdr:row>35</xdr:row>
      <xdr:rowOff>127000</xdr:rowOff>
    </xdr:from>
    <xdr:to>
      <xdr:col>10</xdr:col>
      <xdr:colOff>469900</xdr:colOff>
      <xdr:row>58</xdr:row>
      <xdr:rowOff>25400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330200</xdr:colOff>
      <xdr:row>22</xdr:row>
      <xdr:rowOff>82550</xdr:rowOff>
    </xdr:from>
    <xdr:to>
      <xdr:col>13</xdr:col>
      <xdr:colOff>685800</xdr:colOff>
      <xdr:row>35</xdr:row>
      <xdr:rowOff>190500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215900</xdr:colOff>
      <xdr:row>34</xdr:row>
      <xdr:rowOff>57150</xdr:rowOff>
    </xdr:from>
    <xdr:to>
      <xdr:col>19</xdr:col>
      <xdr:colOff>660400</xdr:colOff>
      <xdr:row>47</xdr:row>
      <xdr:rowOff>158750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165100</xdr:colOff>
      <xdr:row>44</xdr:row>
      <xdr:rowOff>76200</xdr:rowOff>
    </xdr:from>
    <xdr:to>
      <xdr:col>3</xdr:col>
      <xdr:colOff>622300</xdr:colOff>
      <xdr:row>52</xdr:row>
      <xdr:rowOff>114300</xdr:rowOff>
    </xdr:to>
    <xdr:sp macro="" textlink="">
      <xdr:nvSpPr>
        <xdr:cNvPr id="10" name="Rectangle 9"/>
        <xdr:cNvSpPr/>
      </xdr:nvSpPr>
      <xdr:spPr>
        <a:xfrm>
          <a:off x="1816100" y="9017000"/>
          <a:ext cx="1282700" cy="1663700"/>
        </a:xfrm>
        <a:prstGeom prst="rect">
          <a:avLst/>
        </a:prstGeom>
        <a:solidFill>
          <a:schemeClr val="bg2">
            <a:alpha val="33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774700</xdr:colOff>
      <xdr:row>14</xdr:row>
      <xdr:rowOff>63500</xdr:rowOff>
    </xdr:from>
    <xdr:to>
      <xdr:col>10</xdr:col>
      <xdr:colOff>368300</xdr:colOff>
      <xdr:row>14</xdr:row>
      <xdr:rowOff>63500</xdr:rowOff>
    </xdr:to>
    <xdr:cxnSp macro="">
      <xdr:nvCxnSpPr>
        <xdr:cNvPr id="23" name="Straight Connector 22"/>
        <xdr:cNvCxnSpPr/>
      </xdr:nvCxnSpPr>
      <xdr:spPr>
        <a:xfrm>
          <a:off x="7378700" y="2908300"/>
          <a:ext cx="1244600" cy="0"/>
        </a:xfrm>
        <a:prstGeom prst="line">
          <a:avLst/>
        </a:prstGeom>
        <a:ln>
          <a:solidFill>
            <a:srgbClr val="00B0F0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711200</xdr:colOff>
      <xdr:row>12</xdr:row>
      <xdr:rowOff>12700</xdr:rowOff>
    </xdr:from>
    <xdr:to>
      <xdr:col>11</xdr:col>
      <xdr:colOff>304800</xdr:colOff>
      <xdr:row>12</xdr:row>
      <xdr:rowOff>12700</xdr:rowOff>
    </xdr:to>
    <xdr:cxnSp macro="">
      <xdr:nvCxnSpPr>
        <xdr:cNvPr id="25" name="Straight Connector 24"/>
        <xdr:cNvCxnSpPr/>
      </xdr:nvCxnSpPr>
      <xdr:spPr>
        <a:xfrm>
          <a:off x="8140700" y="2451100"/>
          <a:ext cx="1244600" cy="0"/>
        </a:xfrm>
        <a:prstGeom prst="line">
          <a:avLst/>
        </a:prstGeom>
        <a:ln>
          <a:solidFill>
            <a:srgbClr val="00B0F0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622300</xdr:colOff>
      <xdr:row>11</xdr:row>
      <xdr:rowOff>139700</xdr:rowOff>
    </xdr:from>
    <xdr:to>
      <xdr:col>12</xdr:col>
      <xdr:colOff>215900</xdr:colOff>
      <xdr:row>11</xdr:row>
      <xdr:rowOff>139700</xdr:rowOff>
    </xdr:to>
    <xdr:cxnSp macro="">
      <xdr:nvCxnSpPr>
        <xdr:cNvPr id="26" name="Straight Connector 25"/>
        <xdr:cNvCxnSpPr/>
      </xdr:nvCxnSpPr>
      <xdr:spPr>
        <a:xfrm>
          <a:off x="8877300" y="2374900"/>
          <a:ext cx="1244600" cy="0"/>
        </a:xfrm>
        <a:prstGeom prst="line">
          <a:avLst/>
        </a:prstGeom>
        <a:ln>
          <a:solidFill>
            <a:srgbClr val="00B0F0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609600</xdr:colOff>
      <xdr:row>11</xdr:row>
      <xdr:rowOff>50800</xdr:rowOff>
    </xdr:from>
    <xdr:to>
      <xdr:col>13</xdr:col>
      <xdr:colOff>203200</xdr:colOff>
      <xdr:row>11</xdr:row>
      <xdr:rowOff>50800</xdr:rowOff>
    </xdr:to>
    <xdr:cxnSp macro="">
      <xdr:nvCxnSpPr>
        <xdr:cNvPr id="27" name="Straight Connector 26"/>
        <xdr:cNvCxnSpPr/>
      </xdr:nvCxnSpPr>
      <xdr:spPr>
        <a:xfrm>
          <a:off x="9690100" y="2286000"/>
          <a:ext cx="1244600" cy="0"/>
        </a:xfrm>
        <a:prstGeom prst="line">
          <a:avLst/>
        </a:prstGeom>
        <a:ln>
          <a:solidFill>
            <a:srgbClr val="00B0F0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558800</xdr:colOff>
      <xdr:row>0</xdr:row>
      <xdr:rowOff>95250</xdr:rowOff>
    </xdr:from>
    <xdr:to>
      <xdr:col>14</xdr:col>
      <xdr:colOff>266700</xdr:colOff>
      <xdr:row>9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107950</xdr:colOff>
      <xdr:row>18</xdr:row>
      <xdr:rowOff>82550</xdr:rowOff>
    </xdr:from>
    <xdr:to>
      <xdr:col>14</xdr:col>
      <xdr:colOff>641350</xdr:colOff>
      <xdr:row>27</xdr:row>
      <xdr:rowOff>82550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9</xdr:row>
      <xdr:rowOff>165100</xdr:rowOff>
    </xdr:from>
    <xdr:to>
      <xdr:col>14</xdr:col>
      <xdr:colOff>533400</xdr:colOff>
      <xdr:row>18</xdr:row>
      <xdr:rowOff>165100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114300</xdr:colOff>
      <xdr:row>27</xdr:row>
      <xdr:rowOff>25400</xdr:rowOff>
    </xdr:from>
    <xdr:to>
      <xdr:col>14</xdr:col>
      <xdr:colOff>647700</xdr:colOff>
      <xdr:row>36</xdr:row>
      <xdr:rowOff>25400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114300</xdr:colOff>
      <xdr:row>35</xdr:row>
      <xdr:rowOff>152400</xdr:rowOff>
    </xdr:from>
    <xdr:to>
      <xdr:col>14</xdr:col>
      <xdr:colOff>647700</xdr:colOff>
      <xdr:row>44</xdr:row>
      <xdr:rowOff>152400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114300</xdr:colOff>
      <xdr:row>44</xdr:row>
      <xdr:rowOff>76200</xdr:rowOff>
    </xdr:from>
    <xdr:to>
      <xdr:col>14</xdr:col>
      <xdr:colOff>647700</xdr:colOff>
      <xdr:row>53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800100</xdr:colOff>
      <xdr:row>18</xdr:row>
      <xdr:rowOff>38100</xdr:rowOff>
    </xdr:from>
    <xdr:to>
      <xdr:col>13</xdr:col>
      <xdr:colOff>584200</xdr:colOff>
      <xdr:row>19</xdr:row>
      <xdr:rowOff>114300</xdr:rowOff>
    </xdr:to>
    <xdr:sp macro="" textlink="">
      <xdr:nvSpPr>
        <xdr:cNvPr id="8" name="TextBox 7"/>
        <xdr:cNvSpPr txBox="1"/>
      </xdr:nvSpPr>
      <xdr:spPr>
        <a:xfrm>
          <a:off x="7404100" y="3695700"/>
          <a:ext cx="3911600" cy="279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max. Revenue</a:t>
          </a:r>
        </a:p>
      </xdr:txBody>
    </xdr:sp>
    <xdr:clientData/>
  </xdr:twoCellAnchor>
  <xdr:twoCellAnchor>
    <xdr:from>
      <xdr:col>8</xdr:col>
      <xdr:colOff>787400</xdr:colOff>
      <xdr:row>26</xdr:row>
      <xdr:rowOff>152400</xdr:rowOff>
    </xdr:from>
    <xdr:to>
      <xdr:col>13</xdr:col>
      <xdr:colOff>609600</xdr:colOff>
      <xdr:row>28</xdr:row>
      <xdr:rowOff>101600</xdr:rowOff>
    </xdr:to>
    <xdr:sp macro="" textlink="">
      <xdr:nvSpPr>
        <xdr:cNvPr id="9" name="TextBox 8"/>
        <xdr:cNvSpPr txBox="1"/>
      </xdr:nvSpPr>
      <xdr:spPr>
        <a:xfrm>
          <a:off x="7391400" y="5435600"/>
          <a:ext cx="3949700" cy="355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max. System Size with pos. Profit</a:t>
          </a:r>
        </a:p>
      </xdr:txBody>
    </xdr:sp>
    <xdr:clientData/>
  </xdr:twoCellAnchor>
  <xdr:twoCellAnchor>
    <xdr:from>
      <xdr:col>8</xdr:col>
      <xdr:colOff>787400</xdr:colOff>
      <xdr:row>35</xdr:row>
      <xdr:rowOff>88900</xdr:rowOff>
    </xdr:from>
    <xdr:to>
      <xdr:col>13</xdr:col>
      <xdr:colOff>609600</xdr:colOff>
      <xdr:row>37</xdr:row>
      <xdr:rowOff>38100</xdr:rowOff>
    </xdr:to>
    <xdr:sp macro="" textlink="">
      <xdr:nvSpPr>
        <xdr:cNvPr id="10" name="TextBox 9"/>
        <xdr:cNvSpPr txBox="1"/>
      </xdr:nvSpPr>
      <xdr:spPr>
        <a:xfrm>
          <a:off x="7391400" y="7200900"/>
          <a:ext cx="3949700" cy="355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max. Profit</a:t>
          </a:r>
        </a:p>
      </xdr:txBody>
    </xdr:sp>
    <xdr:clientData/>
  </xdr:twoCellAnchor>
  <xdr:twoCellAnchor>
    <xdr:from>
      <xdr:col>8</xdr:col>
      <xdr:colOff>800100</xdr:colOff>
      <xdr:row>43</xdr:row>
      <xdr:rowOff>190500</xdr:rowOff>
    </xdr:from>
    <xdr:to>
      <xdr:col>13</xdr:col>
      <xdr:colOff>609600</xdr:colOff>
      <xdr:row>45</xdr:row>
      <xdr:rowOff>139700</xdr:rowOff>
    </xdr:to>
    <xdr:sp macro="" textlink="">
      <xdr:nvSpPr>
        <xdr:cNvPr id="11" name="TextBox 10"/>
        <xdr:cNvSpPr txBox="1"/>
      </xdr:nvSpPr>
      <xdr:spPr>
        <a:xfrm>
          <a:off x="7404100" y="8928100"/>
          <a:ext cx="3937000" cy="355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max. marginal</a:t>
          </a:r>
          <a:r>
            <a:rPr lang="en-US" sz="1100" b="1" i="1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 Revenue</a:t>
          </a:r>
          <a:endParaRPr lang="en-US" sz="1100" b="1" i="1">
            <a:solidFill>
              <a:schemeClr val="tx1"/>
            </a:solidFill>
            <a:latin typeface="Helvetica" charset="0"/>
            <a:ea typeface="Helvetica" charset="0"/>
            <a:cs typeface="Helvetica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647700</xdr:colOff>
      <xdr:row>38</xdr:row>
      <xdr:rowOff>0</xdr:rowOff>
    </xdr:from>
    <xdr:to>
      <xdr:col>14</xdr:col>
      <xdr:colOff>0</xdr:colOff>
      <xdr:row>60</xdr:row>
      <xdr:rowOff>101600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114300</xdr:colOff>
      <xdr:row>6</xdr:row>
      <xdr:rowOff>158750</xdr:rowOff>
    </xdr:from>
    <xdr:to>
      <xdr:col>12</xdr:col>
      <xdr:colOff>558800</xdr:colOff>
      <xdr:row>20</xdr:row>
      <xdr:rowOff>57150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</xdr:colOff>
      <xdr:row>38</xdr:row>
      <xdr:rowOff>0</xdr:rowOff>
    </xdr:from>
    <xdr:to>
      <xdr:col>12</xdr:col>
      <xdr:colOff>241300</xdr:colOff>
      <xdr:row>60</xdr:row>
      <xdr:rowOff>101600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520700</xdr:colOff>
      <xdr:row>38</xdr:row>
      <xdr:rowOff>12700</xdr:rowOff>
    </xdr:from>
    <xdr:to>
      <xdr:col>8</xdr:col>
      <xdr:colOff>698500</xdr:colOff>
      <xdr:row>60</xdr:row>
      <xdr:rowOff>114300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342900</xdr:colOff>
      <xdr:row>38</xdr:row>
      <xdr:rowOff>19050</xdr:rowOff>
    </xdr:from>
    <xdr:to>
      <xdr:col>7</xdr:col>
      <xdr:colOff>120650</xdr:colOff>
      <xdr:row>60</xdr:row>
      <xdr:rowOff>120650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292100</xdr:colOff>
      <xdr:row>38</xdr:row>
      <xdr:rowOff>12700</xdr:rowOff>
    </xdr:from>
    <xdr:to>
      <xdr:col>10</xdr:col>
      <xdr:colOff>469900</xdr:colOff>
      <xdr:row>60</xdr:row>
      <xdr:rowOff>114300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330200</xdr:colOff>
      <xdr:row>24</xdr:row>
      <xdr:rowOff>171450</xdr:rowOff>
    </xdr:from>
    <xdr:to>
      <xdr:col>13</xdr:col>
      <xdr:colOff>685800</xdr:colOff>
      <xdr:row>38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215900</xdr:colOff>
      <xdr:row>34</xdr:row>
      <xdr:rowOff>57150</xdr:rowOff>
    </xdr:from>
    <xdr:to>
      <xdr:col>19</xdr:col>
      <xdr:colOff>660400</xdr:colOff>
      <xdr:row>47</xdr:row>
      <xdr:rowOff>158750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647700</xdr:colOff>
      <xdr:row>35</xdr:row>
      <xdr:rowOff>114300</xdr:rowOff>
    </xdr:from>
    <xdr:to>
      <xdr:col>14</xdr:col>
      <xdr:colOff>0</xdr:colOff>
      <xdr:row>58</xdr:row>
      <xdr:rowOff>12700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25400</xdr:colOff>
      <xdr:row>6</xdr:row>
      <xdr:rowOff>120650</xdr:rowOff>
    </xdr:from>
    <xdr:to>
      <xdr:col>13</xdr:col>
      <xdr:colOff>469900</xdr:colOff>
      <xdr:row>20</xdr:row>
      <xdr:rowOff>19050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</xdr:colOff>
      <xdr:row>35</xdr:row>
      <xdr:rowOff>114300</xdr:rowOff>
    </xdr:from>
    <xdr:to>
      <xdr:col>12</xdr:col>
      <xdr:colOff>241300</xdr:colOff>
      <xdr:row>58</xdr:row>
      <xdr:rowOff>12700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342900</xdr:colOff>
      <xdr:row>35</xdr:row>
      <xdr:rowOff>133350</xdr:rowOff>
    </xdr:from>
    <xdr:to>
      <xdr:col>7</xdr:col>
      <xdr:colOff>120650</xdr:colOff>
      <xdr:row>58</xdr:row>
      <xdr:rowOff>31750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292100</xdr:colOff>
      <xdr:row>35</xdr:row>
      <xdr:rowOff>127000</xdr:rowOff>
    </xdr:from>
    <xdr:to>
      <xdr:col>10</xdr:col>
      <xdr:colOff>469900</xdr:colOff>
      <xdr:row>58</xdr:row>
      <xdr:rowOff>25400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330200</xdr:colOff>
      <xdr:row>22</xdr:row>
      <xdr:rowOff>82550</xdr:rowOff>
    </xdr:from>
    <xdr:to>
      <xdr:col>15</xdr:col>
      <xdr:colOff>419100</xdr:colOff>
      <xdr:row>35</xdr:row>
      <xdr:rowOff>190500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63500</xdr:colOff>
      <xdr:row>34</xdr:row>
      <xdr:rowOff>6350</xdr:rowOff>
    </xdr:from>
    <xdr:to>
      <xdr:col>22</xdr:col>
      <xdr:colOff>508000</xdr:colOff>
      <xdr:row>47</xdr:row>
      <xdr:rowOff>107950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520700</xdr:colOff>
      <xdr:row>35</xdr:row>
      <xdr:rowOff>127000</xdr:rowOff>
    </xdr:from>
    <xdr:to>
      <xdr:col>8</xdr:col>
      <xdr:colOff>698500</xdr:colOff>
      <xdr:row>58</xdr:row>
      <xdr:rowOff>25400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406400</xdr:colOff>
      <xdr:row>35</xdr:row>
      <xdr:rowOff>114300</xdr:rowOff>
    </xdr:from>
    <xdr:to>
      <xdr:col>15</xdr:col>
      <xdr:colOff>584200</xdr:colOff>
      <xdr:row>58</xdr:row>
      <xdr:rowOff>12700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558800</xdr:colOff>
      <xdr:row>0</xdr:row>
      <xdr:rowOff>95250</xdr:rowOff>
    </xdr:from>
    <xdr:to>
      <xdr:col>16</xdr:col>
      <xdr:colOff>266700</xdr:colOff>
      <xdr:row>9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107950</xdr:colOff>
      <xdr:row>18</xdr:row>
      <xdr:rowOff>82550</xdr:rowOff>
    </xdr:from>
    <xdr:to>
      <xdr:col>16</xdr:col>
      <xdr:colOff>641350</xdr:colOff>
      <xdr:row>27</xdr:row>
      <xdr:rowOff>82550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9</xdr:row>
      <xdr:rowOff>165100</xdr:rowOff>
    </xdr:from>
    <xdr:to>
      <xdr:col>16</xdr:col>
      <xdr:colOff>533400</xdr:colOff>
      <xdr:row>18</xdr:row>
      <xdr:rowOff>165100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114300</xdr:colOff>
      <xdr:row>27</xdr:row>
      <xdr:rowOff>25400</xdr:rowOff>
    </xdr:from>
    <xdr:to>
      <xdr:col>16</xdr:col>
      <xdr:colOff>647700</xdr:colOff>
      <xdr:row>36</xdr:row>
      <xdr:rowOff>25400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114300</xdr:colOff>
      <xdr:row>35</xdr:row>
      <xdr:rowOff>152400</xdr:rowOff>
    </xdr:from>
    <xdr:to>
      <xdr:col>16</xdr:col>
      <xdr:colOff>647700</xdr:colOff>
      <xdr:row>44</xdr:row>
      <xdr:rowOff>152400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114300</xdr:colOff>
      <xdr:row>44</xdr:row>
      <xdr:rowOff>76200</xdr:rowOff>
    </xdr:from>
    <xdr:to>
      <xdr:col>16</xdr:col>
      <xdr:colOff>647700</xdr:colOff>
      <xdr:row>53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800100</xdr:colOff>
      <xdr:row>18</xdr:row>
      <xdr:rowOff>38100</xdr:rowOff>
    </xdr:from>
    <xdr:to>
      <xdr:col>15</xdr:col>
      <xdr:colOff>584200</xdr:colOff>
      <xdr:row>19</xdr:row>
      <xdr:rowOff>114300</xdr:rowOff>
    </xdr:to>
    <xdr:sp macro="" textlink="">
      <xdr:nvSpPr>
        <xdr:cNvPr id="8" name="TextBox 7"/>
        <xdr:cNvSpPr txBox="1"/>
      </xdr:nvSpPr>
      <xdr:spPr>
        <a:xfrm>
          <a:off x="7404100" y="3695700"/>
          <a:ext cx="3911600" cy="279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max. Revenue</a:t>
          </a:r>
        </a:p>
      </xdr:txBody>
    </xdr:sp>
    <xdr:clientData/>
  </xdr:twoCellAnchor>
  <xdr:twoCellAnchor>
    <xdr:from>
      <xdr:col>10</xdr:col>
      <xdr:colOff>787400</xdr:colOff>
      <xdr:row>26</xdr:row>
      <xdr:rowOff>152400</xdr:rowOff>
    </xdr:from>
    <xdr:to>
      <xdr:col>15</xdr:col>
      <xdr:colOff>609600</xdr:colOff>
      <xdr:row>28</xdr:row>
      <xdr:rowOff>101600</xdr:rowOff>
    </xdr:to>
    <xdr:sp macro="" textlink="">
      <xdr:nvSpPr>
        <xdr:cNvPr id="9" name="TextBox 8"/>
        <xdr:cNvSpPr txBox="1"/>
      </xdr:nvSpPr>
      <xdr:spPr>
        <a:xfrm>
          <a:off x="7391400" y="5435600"/>
          <a:ext cx="3949700" cy="355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max. System Size with pos. Profit</a:t>
          </a:r>
        </a:p>
      </xdr:txBody>
    </xdr:sp>
    <xdr:clientData/>
  </xdr:twoCellAnchor>
  <xdr:twoCellAnchor>
    <xdr:from>
      <xdr:col>10</xdr:col>
      <xdr:colOff>787400</xdr:colOff>
      <xdr:row>35</xdr:row>
      <xdr:rowOff>88900</xdr:rowOff>
    </xdr:from>
    <xdr:to>
      <xdr:col>15</xdr:col>
      <xdr:colOff>609600</xdr:colOff>
      <xdr:row>37</xdr:row>
      <xdr:rowOff>38100</xdr:rowOff>
    </xdr:to>
    <xdr:sp macro="" textlink="">
      <xdr:nvSpPr>
        <xdr:cNvPr id="10" name="TextBox 9"/>
        <xdr:cNvSpPr txBox="1"/>
      </xdr:nvSpPr>
      <xdr:spPr>
        <a:xfrm>
          <a:off x="7391400" y="7200900"/>
          <a:ext cx="3949700" cy="355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max. Profit</a:t>
          </a:r>
        </a:p>
      </xdr:txBody>
    </xdr:sp>
    <xdr:clientData/>
  </xdr:twoCellAnchor>
  <xdr:twoCellAnchor>
    <xdr:from>
      <xdr:col>10</xdr:col>
      <xdr:colOff>800100</xdr:colOff>
      <xdr:row>43</xdr:row>
      <xdr:rowOff>190500</xdr:rowOff>
    </xdr:from>
    <xdr:to>
      <xdr:col>15</xdr:col>
      <xdr:colOff>609600</xdr:colOff>
      <xdr:row>45</xdr:row>
      <xdr:rowOff>139700</xdr:rowOff>
    </xdr:to>
    <xdr:sp macro="" textlink="">
      <xdr:nvSpPr>
        <xdr:cNvPr id="11" name="TextBox 10"/>
        <xdr:cNvSpPr txBox="1"/>
      </xdr:nvSpPr>
      <xdr:spPr>
        <a:xfrm>
          <a:off x="7404100" y="8928100"/>
          <a:ext cx="3937000" cy="355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max. marginal</a:t>
          </a:r>
          <a:r>
            <a:rPr lang="en-US" sz="1100" b="1" i="1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 Revenue</a:t>
          </a:r>
          <a:endParaRPr lang="en-US" sz="1100" b="1" i="1">
            <a:solidFill>
              <a:schemeClr val="tx1"/>
            </a:solidFill>
            <a:latin typeface="Helvetica" charset="0"/>
            <a:ea typeface="Helvetica" charset="0"/>
            <a:cs typeface="Helvetica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25400</xdr:colOff>
      <xdr:row>6</xdr:row>
      <xdr:rowOff>120650</xdr:rowOff>
    </xdr:from>
    <xdr:to>
      <xdr:col>13</xdr:col>
      <xdr:colOff>469900</xdr:colOff>
      <xdr:row>20</xdr:row>
      <xdr:rowOff>19050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342900</xdr:colOff>
      <xdr:row>35</xdr:row>
      <xdr:rowOff>133350</xdr:rowOff>
    </xdr:from>
    <xdr:to>
      <xdr:col>9</xdr:col>
      <xdr:colOff>787400</xdr:colOff>
      <xdr:row>49</xdr:row>
      <xdr:rowOff>31750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76200</xdr:colOff>
      <xdr:row>22</xdr:row>
      <xdr:rowOff>82550</xdr:rowOff>
    </xdr:from>
    <xdr:to>
      <xdr:col>11</xdr:col>
      <xdr:colOff>444500</xdr:colOff>
      <xdr:row>40</xdr:row>
      <xdr:rowOff>25400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215900</xdr:colOff>
      <xdr:row>34</xdr:row>
      <xdr:rowOff>57150</xdr:rowOff>
    </xdr:from>
    <xdr:to>
      <xdr:col>19</xdr:col>
      <xdr:colOff>660400</xdr:colOff>
      <xdr:row>47</xdr:row>
      <xdr:rowOff>158750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107950</xdr:colOff>
      <xdr:row>18</xdr:row>
      <xdr:rowOff>82550</xdr:rowOff>
    </xdr:from>
    <xdr:to>
      <xdr:col>16</xdr:col>
      <xdr:colOff>641350</xdr:colOff>
      <xdr:row>27</xdr:row>
      <xdr:rowOff>82550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9</xdr:row>
      <xdr:rowOff>165100</xdr:rowOff>
    </xdr:from>
    <xdr:to>
      <xdr:col>16</xdr:col>
      <xdr:colOff>533400</xdr:colOff>
      <xdr:row>18</xdr:row>
      <xdr:rowOff>165100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800100</xdr:colOff>
      <xdr:row>18</xdr:row>
      <xdr:rowOff>38100</xdr:rowOff>
    </xdr:from>
    <xdr:to>
      <xdr:col>15</xdr:col>
      <xdr:colOff>584200</xdr:colOff>
      <xdr:row>19</xdr:row>
      <xdr:rowOff>114300</xdr:rowOff>
    </xdr:to>
    <xdr:sp macro="" textlink="">
      <xdr:nvSpPr>
        <xdr:cNvPr id="8" name="TextBox 7"/>
        <xdr:cNvSpPr txBox="1"/>
      </xdr:nvSpPr>
      <xdr:spPr>
        <a:xfrm>
          <a:off x="9055100" y="3695700"/>
          <a:ext cx="3911600" cy="279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max. Revenue</a:t>
          </a:r>
        </a:p>
      </xdr:txBody>
    </xdr:sp>
    <xdr:clientData/>
  </xdr:twoCellAnchor>
  <xdr:twoCellAnchor>
    <xdr:from>
      <xdr:col>9</xdr:col>
      <xdr:colOff>558800</xdr:colOff>
      <xdr:row>0</xdr:row>
      <xdr:rowOff>95250</xdr:rowOff>
    </xdr:from>
    <xdr:to>
      <xdr:col>16</xdr:col>
      <xdr:colOff>266700</xdr:colOff>
      <xdr:row>9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114300</xdr:colOff>
      <xdr:row>27</xdr:row>
      <xdr:rowOff>25400</xdr:rowOff>
    </xdr:from>
    <xdr:to>
      <xdr:col>16</xdr:col>
      <xdr:colOff>647700</xdr:colOff>
      <xdr:row>36</xdr:row>
      <xdr:rowOff>25400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114300</xdr:colOff>
      <xdr:row>35</xdr:row>
      <xdr:rowOff>152400</xdr:rowOff>
    </xdr:from>
    <xdr:to>
      <xdr:col>16</xdr:col>
      <xdr:colOff>647700</xdr:colOff>
      <xdr:row>44</xdr:row>
      <xdr:rowOff>152400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114300</xdr:colOff>
      <xdr:row>44</xdr:row>
      <xdr:rowOff>76200</xdr:rowOff>
    </xdr:from>
    <xdr:to>
      <xdr:col>16</xdr:col>
      <xdr:colOff>647700</xdr:colOff>
      <xdr:row>53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787400</xdr:colOff>
      <xdr:row>26</xdr:row>
      <xdr:rowOff>152400</xdr:rowOff>
    </xdr:from>
    <xdr:to>
      <xdr:col>15</xdr:col>
      <xdr:colOff>609600</xdr:colOff>
      <xdr:row>28</xdr:row>
      <xdr:rowOff>101600</xdr:rowOff>
    </xdr:to>
    <xdr:sp macro="" textlink="">
      <xdr:nvSpPr>
        <xdr:cNvPr id="9" name="TextBox 8"/>
        <xdr:cNvSpPr txBox="1"/>
      </xdr:nvSpPr>
      <xdr:spPr>
        <a:xfrm>
          <a:off x="9042400" y="5435600"/>
          <a:ext cx="3949700" cy="355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max. System Size with pos. Profit</a:t>
          </a:r>
        </a:p>
      </xdr:txBody>
    </xdr:sp>
    <xdr:clientData/>
  </xdr:twoCellAnchor>
  <xdr:twoCellAnchor>
    <xdr:from>
      <xdr:col>10</xdr:col>
      <xdr:colOff>787400</xdr:colOff>
      <xdr:row>35</xdr:row>
      <xdr:rowOff>88900</xdr:rowOff>
    </xdr:from>
    <xdr:to>
      <xdr:col>15</xdr:col>
      <xdr:colOff>609600</xdr:colOff>
      <xdr:row>37</xdr:row>
      <xdr:rowOff>38100</xdr:rowOff>
    </xdr:to>
    <xdr:sp macro="" textlink="">
      <xdr:nvSpPr>
        <xdr:cNvPr id="10" name="TextBox 9"/>
        <xdr:cNvSpPr txBox="1"/>
      </xdr:nvSpPr>
      <xdr:spPr>
        <a:xfrm>
          <a:off x="9042400" y="7200900"/>
          <a:ext cx="3949700" cy="355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max. Profit</a:t>
          </a:r>
        </a:p>
      </xdr:txBody>
    </xdr:sp>
    <xdr:clientData/>
  </xdr:twoCellAnchor>
  <xdr:twoCellAnchor>
    <xdr:from>
      <xdr:col>10</xdr:col>
      <xdr:colOff>800100</xdr:colOff>
      <xdr:row>43</xdr:row>
      <xdr:rowOff>190500</xdr:rowOff>
    </xdr:from>
    <xdr:to>
      <xdr:col>15</xdr:col>
      <xdr:colOff>609600</xdr:colOff>
      <xdr:row>45</xdr:row>
      <xdr:rowOff>139700</xdr:rowOff>
    </xdr:to>
    <xdr:sp macro="" textlink="">
      <xdr:nvSpPr>
        <xdr:cNvPr id="11" name="TextBox 10"/>
        <xdr:cNvSpPr txBox="1"/>
      </xdr:nvSpPr>
      <xdr:spPr>
        <a:xfrm>
          <a:off x="9055100" y="8928100"/>
          <a:ext cx="3937000" cy="355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max. marginal</a:t>
          </a:r>
          <a:r>
            <a:rPr lang="en-US" sz="1100" b="1" i="1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 Revenue</a:t>
          </a:r>
          <a:endParaRPr lang="en-US" sz="1100" b="1" i="1">
            <a:solidFill>
              <a:schemeClr val="tx1"/>
            </a:solidFill>
            <a:latin typeface="Helvetica" charset="0"/>
            <a:ea typeface="Helvetica" charset="0"/>
            <a:cs typeface="Helvetica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666750</xdr:colOff>
      <xdr:row>0</xdr:row>
      <xdr:rowOff>95250</xdr:rowOff>
    </xdr:from>
    <xdr:to>
      <xdr:col>14</xdr:col>
      <xdr:colOff>374650</xdr:colOff>
      <xdr:row>9</xdr:row>
      <xdr:rowOff>95250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673100</xdr:colOff>
      <xdr:row>9</xdr:row>
      <xdr:rowOff>76199</xdr:rowOff>
    </xdr:from>
    <xdr:to>
      <xdr:col>14</xdr:col>
      <xdr:colOff>381000</xdr:colOff>
      <xdr:row>19</xdr:row>
      <xdr:rowOff>74464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495300</xdr:colOff>
      <xdr:row>9</xdr:row>
      <xdr:rowOff>38100</xdr:rowOff>
    </xdr:from>
    <xdr:to>
      <xdr:col>14</xdr:col>
      <xdr:colOff>215900</xdr:colOff>
      <xdr:row>10</xdr:row>
      <xdr:rowOff>88900</xdr:rowOff>
    </xdr:to>
    <xdr:sp macro="" textlink="">
      <xdr:nvSpPr>
        <xdr:cNvPr id="8" name="TextBox 7"/>
        <xdr:cNvSpPr txBox="1"/>
      </xdr:nvSpPr>
      <xdr:spPr>
        <a:xfrm>
          <a:off x="7099300" y="1866900"/>
          <a:ext cx="4673600" cy="25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EV Number 2016</a:t>
          </a:r>
        </a:p>
      </xdr:txBody>
    </xdr:sp>
    <xdr:clientData/>
  </xdr:twoCellAnchor>
  <xdr:twoCellAnchor>
    <xdr:from>
      <xdr:col>7</xdr:col>
      <xdr:colOff>673100</xdr:colOff>
      <xdr:row>18</xdr:row>
      <xdr:rowOff>76200</xdr:rowOff>
    </xdr:from>
    <xdr:to>
      <xdr:col>14</xdr:col>
      <xdr:colOff>381000</xdr:colOff>
      <xdr:row>28</xdr:row>
      <xdr:rowOff>74465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673100</xdr:colOff>
      <xdr:row>27</xdr:row>
      <xdr:rowOff>63499</xdr:rowOff>
    </xdr:from>
    <xdr:to>
      <xdr:col>14</xdr:col>
      <xdr:colOff>381000</xdr:colOff>
      <xdr:row>37</xdr:row>
      <xdr:rowOff>61765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520700</xdr:colOff>
      <xdr:row>18</xdr:row>
      <xdr:rowOff>12700</xdr:rowOff>
    </xdr:from>
    <xdr:to>
      <xdr:col>14</xdr:col>
      <xdr:colOff>215900</xdr:colOff>
      <xdr:row>19</xdr:row>
      <xdr:rowOff>76200</xdr:rowOff>
    </xdr:to>
    <xdr:sp macro="" textlink="">
      <xdr:nvSpPr>
        <xdr:cNvPr id="16" name="TextBox 15"/>
        <xdr:cNvSpPr txBox="1"/>
      </xdr:nvSpPr>
      <xdr:spPr>
        <a:xfrm>
          <a:off x="7124700" y="3670300"/>
          <a:ext cx="46482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EV Number 2017</a:t>
          </a:r>
        </a:p>
      </xdr:txBody>
    </xdr:sp>
    <xdr:clientData/>
  </xdr:twoCellAnchor>
  <xdr:twoCellAnchor>
    <xdr:from>
      <xdr:col>8</xdr:col>
      <xdr:colOff>546100</xdr:colOff>
      <xdr:row>27</xdr:row>
      <xdr:rowOff>0</xdr:rowOff>
    </xdr:from>
    <xdr:to>
      <xdr:col>14</xdr:col>
      <xdr:colOff>228600</xdr:colOff>
      <xdr:row>28</xdr:row>
      <xdr:rowOff>12700</xdr:rowOff>
    </xdr:to>
    <xdr:sp macro="" textlink="">
      <xdr:nvSpPr>
        <xdr:cNvPr id="17" name="TextBox 16"/>
        <xdr:cNvSpPr txBox="1"/>
      </xdr:nvSpPr>
      <xdr:spPr>
        <a:xfrm>
          <a:off x="7150100" y="5486400"/>
          <a:ext cx="4635500" cy="215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EV Market</a:t>
          </a:r>
          <a:r>
            <a:rPr lang="en-US" sz="1100" b="1" i="1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 Share 2%</a:t>
          </a:r>
          <a:endParaRPr lang="en-US" sz="1100" b="1" i="1">
            <a:solidFill>
              <a:schemeClr val="tx1"/>
            </a:solidFill>
            <a:latin typeface="Helvetica" charset="0"/>
            <a:ea typeface="Helvetica" charset="0"/>
            <a:cs typeface="Helvetica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666750</xdr:colOff>
      <xdr:row>0</xdr:row>
      <xdr:rowOff>95250</xdr:rowOff>
    </xdr:from>
    <xdr:to>
      <xdr:col>14</xdr:col>
      <xdr:colOff>374650</xdr:colOff>
      <xdr:row>9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673100</xdr:colOff>
      <xdr:row>9</xdr:row>
      <xdr:rowOff>76200</xdr:rowOff>
    </xdr:from>
    <xdr:to>
      <xdr:col>14</xdr:col>
      <xdr:colOff>381000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495300</xdr:colOff>
      <xdr:row>9</xdr:row>
      <xdr:rowOff>38100</xdr:rowOff>
    </xdr:from>
    <xdr:to>
      <xdr:col>14</xdr:col>
      <xdr:colOff>215900</xdr:colOff>
      <xdr:row>10</xdr:row>
      <xdr:rowOff>88900</xdr:rowOff>
    </xdr:to>
    <xdr:sp macro="" textlink="">
      <xdr:nvSpPr>
        <xdr:cNvPr id="4" name="TextBox 3"/>
        <xdr:cNvSpPr txBox="1"/>
      </xdr:nvSpPr>
      <xdr:spPr>
        <a:xfrm>
          <a:off x="7099300" y="1866900"/>
          <a:ext cx="4673600" cy="25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EV Number 2016</a:t>
          </a:r>
        </a:p>
      </xdr:txBody>
    </xdr:sp>
    <xdr:clientData/>
  </xdr:twoCellAnchor>
  <xdr:twoCellAnchor>
    <xdr:from>
      <xdr:col>7</xdr:col>
      <xdr:colOff>673100</xdr:colOff>
      <xdr:row>18</xdr:row>
      <xdr:rowOff>76200</xdr:rowOff>
    </xdr:from>
    <xdr:to>
      <xdr:col>14</xdr:col>
      <xdr:colOff>381000</xdr:colOff>
      <xdr:row>27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673100</xdr:colOff>
      <xdr:row>27</xdr:row>
      <xdr:rowOff>63500</xdr:rowOff>
    </xdr:from>
    <xdr:to>
      <xdr:col>14</xdr:col>
      <xdr:colOff>381000</xdr:colOff>
      <xdr:row>36</xdr:row>
      <xdr:rowOff>63500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520700</xdr:colOff>
      <xdr:row>18</xdr:row>
      <xdr:rowOff>12700</xdr:rowOff>
    </xdr:from>
    <xdr:to>
      <xdr:col>14</xdr:col>
      <xdr:colOff>215900</xdr:colOff>
      <xdr:row>19</xdr:row>
      <xdr:rowOff>76200</xdr:rowOff>
    </xdr:to>
    <xdr:sp macro="" textlink="">
      <xdr:nvSpPr>
        <xdr:cNvPr id="7" name="TextBox 6"/>
        <xdr:cNvSpPr txBox="1"/>
      </xdr:nvSpPr>
      <xdr:spPr>
        <a:xfrm>
          <a:off x="7124700" y="3670300"/>
          <a:ext cx="46482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EV Number 2017</a:t>
          </a:r>
        </a:p>
      </xdr:txBody>
    </xdr:sp>
    <xdr:clientData/>
  </xdr:twoCellAnchor>
  <xdr:twoCellAnchor>
    <xdr:from>
      <xdr:col>8</xdr:col>
      <xdr:colOff>546100</xdr:colOff>
      <xdr:row>27</xdr:row>
      <xdr:rowOff>0</xdr:rowOff>
    </xdr:from>
    <xdr:to>
      <xdr:col>14</xdr:col>
      <xdr:colOff>228600</xdr:colOff>
      <xdr:row>28</xdr:row>
      <xdr:rowOff>12700</xdr:rowOff>
    </xdr:to>
    <xdr:sp macro="" textlink="">
      <xdr:nvSpPr>
        <xdr:cNvPr id="8" name="TextBox 7"/>
        <xdr:cNvSpPr txBox="1"/>
      </xdr:nvSpPr>
      <xdr:spPr>
        <a:xfrm>
          <a:off x="7150100" y="5486400"/>
          <a:ext cx="4635500" cy="215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EV Market</a:t>
          </a:r>
          <a:r>
            <a:rPr lang="en-US" sz="1100" b="1" i="1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 Share 2%</a:t>
          </a:r>
          <a:endParaRPr lang="en-US" sz="1100" b="1" i="1">
            <a:solidFill>
              <a:schemeClr val="tx1"/>
            </a:solidFill>
            <a:latin typeface="Helvetica" charset="0"/>
            <a:ea typeface="Helvetica" charset="0"/>
            <a:cs typeface="Helvetica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666750</xdr:colOff>
      <xdr:row>0</xdr:row>
      <xdr:rowOff>95250</xdr:rowOff>
    </xdr:from>
    <xdr:to>
      <xdr:col>14</xdr:col>
      <xdr:colOff>374650</xdr:colOff>
      <xdr:row>9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673100</xdr:colOff>
      <xdr:row>9</xdr:row>
      <xdr:rowOff>76200</xdr:rowOff>
    </xdr:from>
    <xdr:to>
      <xdr:col>14</xdr:col>
      <xdr:colOff>381000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495300</xdr:colOff>
      <xdr:row>9</xdr:row>
      <xdr:rowOff>38100</xdr:rowOff>
    </xdr:from>
    <xdr:to>
      <xdr:col>14</xdr:col>
      <xdr:colOff>215900</xdr:colOff>
      <xdr:row>10</xdr:row>
      <xdr:rowOff>88900</xdr:rowOff>
    </xdr:to>
    <xdr:sp macro="" textlink="">
      <xdr:nvSpPr>
        <xdr:cNvPr id="4" name="TextBox 3"/>
        <xdr:cNvSpPr txBox="1"/>
      </xdr:nvSpPr>
      <xdr:spPr>
        <a:xfrm>
          <a:off x="7099300" y="1866900"/>
          <a:ext cx="4673600" cy="25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EV Number 2016</a:t>
          </a:r>
        </a:p>
      </xdr:txBody>
    </xdr:sp>
    <xdr:clientData/>
  </xdr:twoCellAnchor>
  <xdr:twoCellAnchor>
    <xdr:from>
      <xdr:col>7</xdr:col>
      <xdr:colOff>673100</xdr:colOff>
      <xdr:row>18</xdr:row>
      <xdr:rowOff>76200</xdr:rowOff>
    </xdr:from>
    <xdr:to>
      <xdr:col>14</xdr:col>
      <xdr:colOff>381000</xdr:colOff>
      <xdr:row>27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673100</xdr:colOff>
      <xdr:row>27</xdr:row>
      <xdr:rowOff>63500</xdr:rowOff>
    </xdr:from>
    <xdr:to>
      <xdr:col>14</xdr:col>
      <xdr:colOff>381000</xdr:colOff>
      <xdr:row>36</xdr:row>
      <xdr:rowOff>63500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520700</xdr:colOff>
      <xdr:row>18</xdr:row>
      <xdr:rowOff>12700</xdr:rowOff>
    </xdr:from>
    <xdr:to>
      <xdr:col>14</xdr:col>
      <xdr:colOff>215900</xdr:colOff>
      <xdr:row>19</xdr:row>
      <xdr:rowOff>76200</xdr:rowOff>
    </xdr:to>
    <xdr:sp macro="" textlink="">
      <xdr:nvSpPr>
        <xdr:cNvPr id="7" name="TextBox 6"/>
        <xdr:cNvSpPr txBox="1"/>
      </xdr:nvSpPr>
      <xdr:spPr>
        <a:xfrm>
          <a:off x="7124700" y="3670300"/>
          <a:ext cx="46482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EV Number 2017</a:t>
          </a:r>
        </a:p>
      </xdr:txBody>
    </xdr:sp>
    <xdr:clientData/>
  </xdr:twoCellAnchor>
  <xdr:twoCellAnchor>
    <xdr:from>
      <xdr:col>8</xdr:col>
      <xdr:colOff>546100</xdr:colOff>
      <xdr:row>27</xdr:row>
      <xdr:rowOff>0</xdr:rowOff>
    </xdr:from>
    <xdr:to>
      <xdr:col>14</xdr:col>
      <xdr:colOff>228600</xdr:colOff>
      <xdr:row>28</xdr:row>
      <xdr:rowOff>12700</xdr:rowOff>
    </xdr:to>
    <xdr:sp macro="" textlink="">
      <xdr:nvSpPr>
        <xdr:cNvPr id="8" name="TextBox 7"/>
        <xdr:cNvSpPr txBox="1"/>
      </xdr:nvSpPr>
      <xdr:spPr>
        <a:xfrm>
          <a:off x="7150100" y="5486400"/>
          <a:ext cx="4635500" cy="215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EV Market</a:t>
          </a:r>
          <a:r>
            <a:rPr lang="en-US" sz="1100" b="1" i="1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 Share 2%</a:t>
          </a:r>
          <a:endParaRPr lang="en-US" sz="1100" b="1" i="1">
            <a:solidFill>
              <a:schemeClr val="tx1"/>
            </a:solidFill>
            <a:latin typeface="Helvetica" charset="0"/>
            <a:ea typeface="Helvetica" charset="0"/>
            <a:cs typeface="Helvetica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666750</xdr:colOff>
      <xdr:row>0</xdr:row>
      <xdr:rowOff>95250</xdr:rowOff>
    </xdr:from>
    <xdr:to>
      <xdr:col>14</xdr:col>
      <xdr:colOff>374650</xdr:colOff>
      <xdr:row>9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673100</xdr:colOff>
      <xdr:row>9</xdr:row>
      <xdr:rowOff>76200</xdr:rowOff>
    </xdr:from>
    <xdr:to>
      <xdr:col>14</xdr:col>
      <xdr:colOff>381000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495300</xdr:colOff>
      <xdr:row>9</xdr:row>
      <xdr:rowOff>38100</xdr:rowOff>
    </xdr:from>
    <xdr:to>
      <xdr:col>14</xdr:col>
      <xdr:colOff>215900</xdr:colOff>
      <xdr:row>10</xdr:row>
      <xdr:rowOff>88900</xdr:rowOff>
    </xdr:to>
    <xdr:sp macro="" textlink="">
      <xdr:nvSpPr>
        <xdr:cNvPr id="4" name="TextBox 3"/>
        <xdr:cNvSpPr txBox="1"/>
      </xdr:nvSpPr>
      <xdr:spPr>
        <a:xfrm>
          <a:off x="7099300" y="1866900"/>
          <a:ext cx="4673600" cy="25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EV Number 2016</a:t>
          </a:r>
        </a:p>
      </xdr:txBody>
    </xdr:sp>
    <xdr:clientData/>
  </xdr:twoCellAnchor>
  <xdr:twoCellAnchor>
    <xdr:from>
      <xdr:col>7</xdr:col>
      <xdr:colOff>673100</xdr:colOff>
      <xdr:row>18</xdr:row>
      <xdr:rowOff>76200</xdr:rowOff>
    </xdr:from>
    <xdr:to>
      <xdr:col>14</xdr:col>
      <xdr:colOff>381000</xdr:colOff>
      <xdr:row>27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673100</xdr:colOff>
      <xdr:row>27</xdr:row>
      <xdr:rowOff>63500</xdr:rowOff>
    </xdr:from>
    <xdr:to>
      <xdr:col>14</xdr:col>
      <xdr:colOff>381000</xdr:colOff>
      <xdr:row>36</xdr:row>
      <xdr:rowOff>63500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520700</xdr:colOff>
      <xdr:row>18</xdr:row>
      <xdr:rowOff>12700</xdr:rowOff>
    </xdr:from>
    <xdr:to>
      <xdr:col>14</xdr:col>
      <xdr:colOff>215900</xdr:colOff>
      <xdr:row>19</xdr:row>
      <xdr:rowOff>76200</xdr:rowOff>
    </xdr:to>
    <xdr:sp macro="" textlink="">
      <xdr:nvSpPr>
        <xdr:cNvPr id="7" name="TextBox 6"/>
        <xdr:cNvSpPr txBox="1"/>
      </xdr:nvSpPr>
      <xdr:spPr>
        <a:xfrm>
          <a:off x="7124700" y="3670300"/>
          <a:ext cx="46482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EV Number 2017</a:t>
          </a:r>
        </a:p>
      </xdr:txBody>
    </xdr:sp>
    <xdr:clientData/>
  </xdr:twoCellAnchor>
  <xdr:twoCellAnchor>
    <xdr:from>
      <xdr:col>8</xdr:col>
      <xdr:colOff>546100</xdr:colOff>
      <xdr:row>27</xdr:row>
      <xdr:rowOff>0</xdr:rowOff>
    </xdr:from>
    <xdr:to>
      <xdr:col>14</xdr:col>
      <xdr:colOff>228600</xdr:colOff>
      <xdr:row>28</xdr:row>
      <xdr:rowOff>12700</xdr:rowOff>
    </xdr:to>
    <xdr:sp macro="" textlink="">
      <xdr:nvSpPr>
        <xdr:cNvPr id="8" name="TextBox 7"/>
        <xdr:cNvSpPr txBox="1"/>
      </xdr:nvSpPr>
      <xdr:spPr>
        <a:xfrm>
          <a:off x="7150100" y="5486400"/>
          <a:ext cx="4635500" cy="215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1" i="1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EV Market</a:t>
          </a:r>
          <a:r>
            <a:rPr lang="en-US" sz="1100" b="1" i="1" baseline="0">
              <a:solidFill>
                <a:schemeClr val="tx1"/>
              </a:solidFill>
              <a:latin typeface="Helvetica" charset="0"/>
              <a:ea typeface="Helvetica" charset="0"/>
              <a:cs typeface="Helvetica" charset="0"/>
            </a:rPr>
            <a:t> Share 2%</a:t>
          </a:r>
          <a:endParaRPr lang="en-US" sz="1100" b="1" i="1">
            <a:solidFill>
              <a:schemeClr val="tx1"/>
            </a:solidFill>
            <a:latin typeface="Helvetica" charset="0"/>
            <a:ea typeface="Helvetica" charset="0"/>
            <a:cs typeface="Helvetica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2:D24"/>
  <sheetViews>
    <sheetView showGridLines="0" workbookViewId="0">
      <selection activeCell="B20" sqref="B20:D24"/>
    </sheetView>
  </sheetViews>
  <sheetFormatPr baseColWidth="10" defaultRowHeight="16" x14ac:dyDescent="0.2"/>
  <sheetData>
    <row r="2" spans="1:4" x14ac:dyDescent="0.2">
      <c r="B2" t="s">
        <v>36</v>
      </c>
      <c r="C2" t="s">
        <v>37</v>
      </c>
      <c r="D2" t="s">
        <v>38</v>
      </c>
    </row>
    <row r="3" spans="1:4" x14ac:dyDescent="0.2">
      <c r="A3" t="s">
        <v>0</v>
      </c>
      <c r="B3">
        <v>2608</v>
      </c>
      <c r="C3">
        <v>4041</v>
      </c>
    </row>
    <row r="4" spans="1:4" x14ac:dyDescent="0.2">
      <c r="A4" t="s">
        <v>4</v>
      </c>
      <c r="C4">
        <v>2029</v>
      </c>
    </row>
    <row r="5" spans="1:4" x14ac:dyDescent="0.2">
      <c r="A5" t="s">
        <v>19</v>
      </c>
      <c r="B5">
        <f>6333-2608</f>
        <v>3725</v>
      </c>
      <c r="D5">
        <v>109301</v>
      </c>
    </row>
    <row r="20" spans="1:4" x14ac:dyDescent="0.2">
      <c r="A20" t="s">
        <v>2</v>
      </c>
      <c r="B20">
        <v>0</v>
      </c>
      <c r="C20">
        <v>1522</v>
      </c>
      <c r="D20">
        <v>0</v>
      </c>
    </row>
    <row r="21" spans="1:4" x14ac:dyDescent="0.2">
      <c r="A21" t="s">
        <v>10</v>
      </c>
      <c r="B21">
        <v>0</v>
      </c>
      <c r="C21">
        <v>490</v>
      </c>
      <c r="D21">
        <v>0</v>
      </c>
    </row>
    <row r="22" spans="1:4" x14ac:dyDescent="0.2">
      <c r="A22" t="s">
        <v>11</v>
      </c>
      <c r="B22">
        <v>513</v>
      </c>
      <c r="C22">
        <v>0</v>
      </c>
      <c r="D22">
        <v>0</v>
      </c>
    </row>
    <row r="23" spans="1:4" x14ac:dyDescent="0.2">
      <c r="A23" t="s">
        <v>13</v>
      </c>
      <c r="B23">
        <v>342</v>
      </c>
      <c r="C23">
        <v>0</v>
      </c>
      <c r="D23">
        <v>0</v>
      </c>
    </row>
    <row r="24" spans="1:4" x14ac:dyDescent="0.2">
      <c r="A24" t="s">
        <v>39</v>
      </c>
      <c r="B24">
        <v>0</v>
      </c>
      <c r="C24">
        <v>0</v>
      </c>
      <c r="D24">
        <v>2933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K67"/>
  <sheetViews>
    <sheetView showGridLines="0" topLeftCell="A3" workbookViewId="0">
      <selection activeCell="G23" sqref="G23"/>
    </sheetView>
  </sheetViews>
  <sheetFormatPr baseColWidth="10" defaultRowHeight="16" x14ac:dyDescent="0.2"/>
  <sheetData>
    <row r="2" spans="1:6" x14ac:dyDescent="0.2">
      <c r="A2" t="s">
        <v>0</v>
      </c>
      <c r="B2" t="s">
        <v>3</v>
      </c>
    </row>
    <row r="3" spans="1:6" x14ac:dyDescent="0.2">
      <c r="A3" t="s">
        <v>4</v>
      </c>
      <c r="C3" t="s">
        <v>3</v>
      </c>
    </row>
    <row r="4" spans="1:6" x14ac:dyDescent="0.2">
      <c r="A4" t="s">
        <v>9</v>
      </c>
      <c r="B4" s="1"/>
      <c r="C4" s="1"/>
      <c r="D4" t="s">
        <v>3</v>
      </c>
    </row>
    <row r="5" spans="1:6" x14ac:dyDescent="0.2">
      <c r="A5" t="s">
        <v>2</v>
      </c>
      <c r="B5" s="1"/>
      <c r="C5" s="1"/>
      <c r="E5" t="s">
        <v>3</v>
      </c>
    </row>
    <row r="6" spans="1:6" x14ac:dyDescent="0.2">
      <c r="B6" t="s">
        <v>0</v>
      </c>
      <c r="C6" t="s">
        <v>4</v>
      </c>
      <c r="D6" t="s">
        <v>1</v>
      </c>
      <c r="E6" t="s">
        <v>2</v>
      </c>
      <c r="F6" t="s">
        <v>10</v>
      </c>
    </row>
    <row r="7" spans="1:6" x14ac:dyDescent="0.2">
      <c r="A7" t="s">
        <v>6</v>
      </c>
      <c r="B7">
        <v>239</v>
      </c>
      <c r="C7">
        <v>120</v>
      </c>
      <c r="D7">
        <v>229</v>
      </c>
      <c r="E7">
        <v>90</v>
      </c>
      <c r="F7">
        <v>29</v>
      </c>
    </row>
    <row r="8" spans="1:6" x14ac:dyDescent="0.2">
      <c r="A8" t="s">
        <v>7</v>
      </c>
      <c r="B8">
        <v>99</v>
      </c>
      <c r="C8">
        <v>50</v>
      </c>
      <c r="D8">
        <v>189</v>
      </c>
      <c r="E8">
        <v>90</v>
      </c>
      <c r="F8">
        <v>29</v>
      </c>
    </row>
    <row r="9" spans="1:6" x14ac:dyDescent="0.2">
      <c r="A9" t="s">
        <v>8</v>
      </c>
      <c r="B9">
        <v>-19807</v>
      </c>
      <c r="C9">
        <v>-6585</v>
      </c>
      <c r="D9">
        <v>-1138</v>
      </c>
      <c r="E9">
        <v>-109</v>
      </c>
      <c r="F9">
        <v>-1298</v>
      </c>
    </row>
    <row r="10" spans="1:6" x14ac:dyDescent="0.2">
      <c r="A10" t="s">
        <v>5</v>
      </c>
      <c r="B10">
        <v>77805</v>
      </c>
      <c r="C10">
        <v>25935</v>
      </c>
      <c r="D10">
        <v>5187</v>
      </c>
      <c r="E10">
        <v>778</v>
      </c>
      <c r="F10">
        <v>5187</v>
      </c>
    </row>
    <row r="11" spans="1:6" x14ac:dyDescent="0.2">
      <c r="B11">
        <v>0</v>
      </c>
      <c r="C11">
        <v>0</v>
      </c>
      <c r="D11">
        <v>26</v>
      </c>
      <c r="E11">
        <v>0</v>
      </c>
      <c r="F11">
        <v>0</v>
      </c>
    </row>
    <row r="12" spans="1:6" x14ac:dyDescent="0.2">
      <c r="B12">
        <v>0</v>
      </c>
      <c r="C12">
        <v>0</v>
      </c>
      <c r="D12">
        <v>21</v>
      </c>
      <c r="E12">
        <v>0</v>
      </c>
      <c r="F12">
        <v>0</v>
      </c>
    </row>
    <row r="13" spans="1:6" x14ac:dyDescent="0.2">
      <c r="B13">
        <v>0</v>
      </c>
      <c r="C13">
        <v>0</v>
      </c>
      <c r="D13">
        <v>0</v>
      </c>
      <c r="E13">
        <v>0</v>
      </c>
      <c r="F13">
        <v>0</v>
      </c>
    </row>
    <row r="14" spans="1:6" x14ac:dyDescent="0.2">
      <c r="B14">
        <v>0</v>
      </c>
      <c r="C14">
        <v>0</v>
      </c>
      <c r="D14">
        <v>60</v>
      </c>
      <c r="E14">
        <v>0</v>
      </c>
      <c r="F14">
        <v>0</v>
      </c>
    </row>
    <row r="15" spans="1:6" x14ac:dyDescent="0.2">
      <c r="B15">
        <v>0</v>
      </c>
      <c r="C15">
        <v>0</v>
      </c>
      <c r="D15">
        <v>17</v>
      </c>
      <c r="E15">
        <v>0</v>
      </c>
      <c r="F15">
        <v>0</v>
      </c>
    </row>
    <row r="16" spans="1:6" x14ac:dyDescent="0.2">
      <c r="B16">
        <v>0</v>
      </c>
      <c r="C16">
        <v>0</v>
      </c>
      <c r="D16">
        <v>14</v>
      </c>
      <c r="E16">
        <v>0</v>
      </c>
      <c r="F16">
        <v>0</v>
      </c>
    </row>
    <row r="17" spans="1:11" x14ac:dyDescent="0.2">
      <c r="B17">
        <v>0</v>
      </c>
      <c r="C17">
        <v>0</v>
      </c>
      <c r="D17">
        <v>1</v>
      </c>
      <c r="E17">
        <v>0</v>
      </c>
      <c r="F17">
        <v>0</v>
      </c>
    </row>
    <row r="18" spans="1:11" x14ac:dyDescent="0.2">
      <c r="B18">
        <v>0</v>
      </c>
      <c r="C18">
        <v>0</v>
      </c>
      <c r="D18">
        <v>52</v>
      </c>
      <c r="E18">
        <v>0</v>
      </c>
      <c r="F18">
        <v>0</v>
      </c>
    </row>
    <row r="19" spans="1:11" x14ac:dyDescent="0.2">
      <c r="B19">
        <v>1.3252840538678701E-2</v>
      </c>
      <c r="C19">
        <v>1.75126576946667E-2</v>
      </c>
      <c r="D19">
        <v>0.32568632024546601</v>
      </c>
      <c r="E19">
        <v>0.15392734457616</v>
      </c>
      <c r="F19">
        <v>1.1472728531487101E-2</v>
      </c>
    </row>
    <row r="20" spans="1:11" x14ac:dyDescent="0.2">
      <c r="B20">
        <v>5.67169484423421E-3</v>
      </c>
      <c r="C20">
        <v>7.6874351599444399E-3</v>
      </c>
      <c r="D20">
        <v>0.27715830228515698</v>
      </c>
      <c r="E20">
        <v>0.15392734457616</v>
      </c>
      <c r="F20">
        <v>1.1469329203202599E-2</v>
      </c>
    </row>
    <row r="21" spans="1:11" x14ac:dyDescent="0.2">
      <c r="B21">
        <v>-0.250171857991282</v>
      </c>
      <c r="C21">
        <v>-0.248156117675572</v>
      </c>
      <c r="D21">
        <v>2.13147494496412E-2</v>
      </c>
      <c r="E21">
        <v>-0.101916208259356</v>
      </c>
      <c r="F21">
        <v>-0.24437422363231401</v>
      </c>
    </row>
    <row r="22" spans="1:11" x14ac:dyDescent="0.2">
      <c r="B22">
        <v>1</v>
      </c>
      <c r="C22">
        <v>1</v>
      </c>
      <c r="D22">
        <v>1</v>
      </c>
      <c r="E22">
        <v>1</v>
      </c>
      <c r="F22">
        <v>1</v>
      </c>
    </row>
    <row r="24" spans="1:11" x14ac:dyDescent="0.2">
      <c r="A24" t="s">
        <v>24</v>
      </c>
      <c r="B24">
        <v>51869730</v>
      </c>
      <c r="C24">
        <v>51869730</v>
      </c>
      <c r="D24">
        <v>51869730</v>
      </c>
      <c r="E24">
        <v>51869730</v>
      </c>
      <c r="F24">
        <v>51869730</v>
      </c>
    </row>
    <row r="25" spans="1:11" x14ac:dyDescent="0.2">
      <c r="A25" t="s">
        <v>20</v>
      </c>
      <c r="B25" s="6">
        <f>B7*1000000/B$24</f>
        <v>4.6076970132676607</v>
      </c>
      <c r="C25" s="6">
        <f t="shared" ref="C25:F25" si="0">C7*1000000/C$24</f>
        <v>2.3134880401343905</v>
      </c>
      <c r="D25" s="6">
        <f t="shared" si="0"/>
        <v>4.4149063432564617</v>
      </c>
      <c r="E25" s="6">
        <f t="shared" si="0"/>
        <v>1.7351160301007928</v>
      </c>
      <c r="F25" s="6">
        <f t="shared" si="0"/>
        <v>0.5590929430324777</v>
      </c>
    </row>
    <row r="26" spans="1:11" x14ac:dyDescent="0.2">
      <c r="A26" t="s">
        <v>40</v>
      </c>
      <c r="B26" s="6">
        <f>B10/B24*1000</f>
        <v>1.5000078080221353</v>
      </c>
      <c r="C26" s="6">
        <f t="shared" ref="C26:F26" si="1">C10/C24*1000</f>
        <v>0.50000260267404517</v>
      </c>
      <c r="D26" s="6">
        <f t="shared" si="1"/>
        <v>0.10000052053480903</v>
      </c>
      <c r="E26" s="6">
        <f t="shared" si="1"/>
        <v>1.4999114126871299E-2</v>
      </c>
      <c r="F26" s="6">
        <f t="shared" si="1"/>
        <v>0.10000052053480903</v>
      </c>
    </row>
    <row r="27" spans="1:11" x14ac:dyDescent="0.2">
      <c r="A27" t="s">
        <v>27</v>
      </c>
      <c r="B27" s="6">
        <f t="shared" ref="B27:F27" si="2">B9*1000000/B$24</f>
        <v>-381.8604800911823</v>
      </c>
      <c r="C27" s="6">
        <f t="shared" si="2"/>
        <v>-126.95265620237468</v>
      </c>
      <c r="D27" s="6">
        <f t="shared" si="2"/>
        <v>-21.939578247274468</v>
      </c>
      <c r="E27" s="6">
        <f t="shared" si="2"/>
        <v>-2.1014183031220712</v>
      </c>
      <c r="F27" s="6">
        <f t="shared" si="2"/>
        <v>-25.024228967453656</v>
      </c>
    </row>
    <row r="29" spans="1:11" x14ac:dyDescent="0.2">
      <c r="A29" t="s">
        <v>25</v>
      </c>
    </row>
    <row r="30" spans="1:11" x14ac:dyDescent="0.2">
      <c r="A30" t="s">
        <v>20</v>
      </c>
      <c r="B30" s="3">
        <f>B19*1000</f>
        <v>13.252840538678701</v>
      </c>
      <c r="D30" s="3">
        <f>C19*1000</f>
        <v>17.5126576946667</v>
      </c>
      <c r="F30" s="3">
        <f>D19*1000</f>
        <v>325.68632024546599</v>
      </c>
      <c r="H30" s="3">
        <f>E19*1000</f>
        <v>153.92734457616001</v>
      </c>
      <c r="J30" s="3">
        <f>F19*1000</f>
        <v>11.472728531487101</v>
      </c>
    </row>
    <row r="31" spans="1:11" x14ac:dyDescent="0.2">
      <c r="A31" t="s">
        <v>28</v>
      </c>
      <c r="B31" s="3">
        <f>B32</f>
        <v>5.6716948442342101</v>
      </c>
      <c r="C31" s="3">
        <f>B30-B31</f>
        <v>7.5811456944444906</v>
      </c>
      <c r="D31" s="3">
        <f>D32</f>
        <v>7.6874351599444397</v>
      </c>
      <c r="E31" s="3">
        <f>D30-D31</f>
        <v>9.8252225347222613</v>
      </c>
      <c r="F31" s="3">
        <f>F32</f>
        <v>277.15830228515699</v>
      </c>
      <c r="G31" s="3">
        <f>F30-F31</f>
        <v>48.528017960309001</v>
      </c>
      <c r="H31" s="3">
        <f>H32</f>
        <v>153.92734457616001</v>
      </c>
      <c r="I31" s="3">
        <f>H30-H31</f>
        <v>0</v>
      </c>
      <c r="J31" s="3">
        <f>J32</f>
        <v>11.4693292032026</v>
      </c>
      <c r="K31" s="3">
        <f>J30-J31</f>
        <v>3.3993282845017347E-3</v>
      </c>
    </row>
    <row r="32" spans="1:11" x14ac:dyDescent="0.2">
      <c r="A32" t="s">
        <v>26</v>
      </c>
      <c r="B32" s="3">
        <f t="shared" ref="B32" si="3">B20*1000</f>
        <v>5.6716948442342101</v>
      </c>
      <c r="D32" s="3">
        <f>C20*1000</f>
        <v>7.6874351599444397</v>
      </c>
      <c r="F32" s="3">
        <f>D20*1000</f>
        <v>277.15830228515699</v>
      </c>
      <c r="H32" s="3">
        <f>E20*1000</f>
        <v>153.92734457616001</v>
      </c>
      <c r="J32" s="3">
        <f>F20*1000</f>
        <v>11.4693292032026</v>
      </c>
    </row>
    <row r="33" spans="1:11" x14ac:dyDescent="0.2">
      <c r="A33" t="s">
        <v>29</v>
      </c>
      <c r="B33" s="3">
        <f>B34</f>
        <v>-250.171857991282</v>
      </c>
      <c r="C33" s="3">
        <f>IF(B34&lt;0,B32,B32-B34)</f>
        <v>5.6716948442342101</v>
      </c>
      <c r="D33" s="3">
        <f>D34</f>
        <v>-248.15611767557201</v>
      </c>
      <c r="E33" s="3">
        <f>IF(D34&lt;0,D32,D32-D34)</f>
        <v>7.6874351599444397</v>
      </c>
      <c r="F33" s="3">
        <f>F34</f>
        <v>21.314749449641202</v>
      </c>
      <c r="G33" s="3">
        <f>IF(F34&lt;0,F32,F32-F34)</f>
        <v>255.84355283551579</v>
      </c>
      <c r="H33" s="3">
        <f>H34</f>
        <v>-101.916208259356</v>
      </c>
      <c r="I33" s="3">
        <f>IF(H34&lt;0,H32,H32-H34)</f>
        <v>153.92734457616001</v>
      </c>
      <c r="J33" s="3">
        <f>J34</f>
        <v>-244.374223632314</v>
      </c>
      <c r="K33" s="3">
        <f>IF(J34&lt;0,J32,J32-J34)</f>
        <v>11.4693292032026</v>
      </c>
    </row>
    <row r="34" spans="1:11" x14ac:dyDescent="0.2">
      <c r="A34" t="s">
        <v>30</v>
      </c>
      <c r="B34" s="3">
        <f t="shared" ref="B34" si="4">B21*1000</f>
        <v>-250.171857991282</v>
      </c>
      <c r="D34" s="3">
        <f>C21*1000</f>
        <v>-248.15611767557201</v>
      </c>
      <c r="F34" s="3">
        <f>D21*1000</f>
        <v>21.314749449641202</v>
      </c>
      <c r="H34" s="3">
        <f>E21*1000</f>
        <v>-101.916208259356</v>
      </c>
      <c r="J34" s="3">
        <f>F21*1000</f>
        <v>-244.374223632314</v>
      </c>
    </row>
    <row r="35" spans="1:11" x14ac:dyDescent="0.2">
      <c r="A35" t="s">
        <v>35</v>
      </c>
      <c r="B35">
        <f>B34/(B30-B34)</f>
        <v>-0.94969021275288124</v>
      </c>
      <c r="D35">
        <f>D34/(D30-D34)</f>
        <v>-0.93408085812771613</v>
      </c>
      <c r="F35">
        <f>F34/(F30-F34)</f>
        <v>7.0028713239908114E-2</v>
      </c>
      <c r="H35">
        <f>H34/(H30-H34)</f>
        <v>-0.39835363107578015</v>
      </c>
      <c r="J35">
        <f>J34/(J30-J34)</f>
        <v>-0.95515784560082662</v>
      </c>
    </row>
    <row r="39" spans="1:11" x14ac:dyDescent="0.2">
      <c r="B39" t="s">
        <v>31</v>
      </c>
      <c r="C39" t="s">
        <v>32</v>
      </c>
      <c r="D39" t="s">
        <v>33</v>
      </c>
    </row>
    <row r="40" spans="1:11" x14ac:dyDescent="0.2">
      <c r="B40" s="3">
        <f>D7/$B$24*1000000</f>
        <v>4.4149063432564617</v>
      </c>
      <c r="C40" s="3">
        <f>D11/$B$24*1000000</f>
        <v>0.50125574202911793</v>
      </c>
      <c r="D40" s="3">
        <f>D15/$B$24*1000000</f>
        <v>0.3277441390190387</v>
      </c>
    </row>
    <row r="41" spans="1:11" x14ac:dyDescent="0.2">
      <c r="B41" s="3">
        <f>D8/$B$24*1000000</f>
        <v>3.6437436632116653</v>
      </c>
      <c r="C41" s="3">
        <f>D12/$B$24*1000000</f>
        <v>0.40486040702351833</v>
      </c>
      <c r="D41" s="3">
        <f>D16/$B$24*1000000</f>
        <v>0.26990693801567894</v>
      </c>
    </row>
    <row r="42" spans="1:11" x14ac:dyDescent="0.2">
      <c r="B42" s="3">
        <f>D9/$B$24*1000000</f>
        <v>-21.939578247274468</v>
      </c>
      <c r="C42" s="3">
        <f>D13/$B$24*1000000</f>
        <v>0</v>
      </c>
      <c r="D42" s="3">
        <f>D17/$B$24*1000000</f>
        <v>1.9279067001119921E-2</v>
      </c>
    </row>
    <row r="43" spans="1:11" x14ac:dyDescent="0.2">
      <c r="A43" t="s">
        <v>23</v>
      </c>
      <c r="B43" s="3">
        <f>D10/$B$24*1000</f>
        <v>0.10000052053480903</v>
      </c>
      <c r="C43" s="3">
        <f>D14/$B$24*1000</f>
        <v>1.1567440200671952E-3</v>
      </c>
      <c r="D43" s="3">
        <f>D18/$B$24*1000</f>
        <v>1.002511484058236E-3</v>
      </c>
    </row>
    <row r="67" spans="6:10" x14ac:dyDescent="0.2">
      <c r="F67">
        <v>1</v>
      </c>
      <c r="G67">
        <v>2</v>
      </c>
      <c r="H67">
        <v>3</v>
      </c>
      <c r="I67">
        <v>4</v>
      </c>
      <c r="J67">
        <v>5</v>
      </c>
    </row>
  </sheetData>
  <conditionalFormatting sqref="B4:D5">
    <cfRule type="iconSet" priority="3">
      <iconSet iconSet="3Symbols">
        <cfvo type="percent" val="0"/>
        <cfvo type="percent" val="33"/>
        <cfvo type="percent" val="67"/>
      </iconSet>
    </cfRule>
  </conditionalFormatting>
  <conditionalFormatting sqref="B4:C5">
    <cfRule type="iconSet" priority="1">
      <iconSet showValue="0">
        <cfvo type="percent" val="0"/>
        <cfvo type="num" val="-1"/>
        <cfvo type="num" val="1"/>
      </iconSet>
    </cfRule>
  </conditionalFormatting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workbookViewId="0">
      <selection activeCell="N25" sqref="N25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2:K67"/>
  <sheetViews>
    <sheetView showGridLines="0" topLeftCell="A32" workbookViewId="0">
      <selection activeCell="O52" sqref="O52"/>
    </sheetView>
  </sheetViews>
  <sheetFormatPr baseColWidth="10" defaultRowHeight="16" x14ac:dyDescent="0.2"/>
  <sheetData>
    <row r="2" spans="1:6" x14ac:dyDescent="0.2">
      <c r="A2" t="s">
        <v>0</v>
      </c>
      <c r="B2" t="s">
        <v>3</v>
      </c>
    </row>
    <row r="3" spans="1:6" x14ac:dyDescent="0.2">
      <c r="A3" t="s">
        <v>4</v>
      </c>
      <c r="C3" t="s">
        <v>3</v>
      </c>
    </row>
    <row r="4" spans="1:6" x14ac:dyDescent="0.2">
      <c r="A4" t="s">
        <v>9</v>
      </c>
      <c r="B4" s="1"/>
      <c r="C4" s="1"/>
      <c r="D4" t="s">
        <v>3</v>
      </c>
    </row>
    <row r="5" spans="1:6" x14ac:dyDescent="0.2">
      <c r="A5" t="s">
        <v>2</v>
      </c>
      <c r="B5" s="1"/>
      <c r="C5" s="1"/>
      <c r="E5" t="s">
        <v>3</v>
      </c>
    </row>
    <row r="6" spans="1:6" x14ac:dyDescent="0.2">
      <c r="B6" t="s">
        <v>0</v>
      </c>
      <c r="C6" t="s">
        <v>4</v>
      </c>
      <c r="D6" t="s">
        <v>14</v>
      </c>
      <c r="E6" t="s">
        <v>10</v>
      </c>
      <c r="F6" t="s">
        <v>15</v>
      </c>
    </row>
    <row r="7" spans="1:6" x14ac:dyDescent="0.2">
      <c r="A7" t="s">
        <v>6</v>
      </c>
      <c r="B7">
        <v>239</v>
      </c>
      <c r="C7">
        <v>120</v>
      </c>
      <c r="D7">
        <v>380</v>
      </c>
      <c r="E7">
        <v>29</v>
      </c>
      <c r="F7">
        <v>516</v>
      </c>
    </row>
    <row r="8" spans="1:6" x14ac:dyDescent="0.2">
      <c r="A8" t="s">
        <v>7</v>
      </c>
      <c r="B8">
        <v>99</v>
      </c>
      <c r="C8">
        <v>50</v>
      </c>
      <c r="D8">
        <v>157</v>
      </c>
      <c r="E8">
        <v>29</v>
      </c>
      <c r="F8">
        <v>295</v>
      </c>
    </row>
    <row r="9" spans="1:6" x14ac:dyDescent="0.2">
      <c r="A9" t="s">
        <v>8</v>
      </c>
      <c r="B9">
        <v>-19807</v>
      </c>
      <c r="C9">
        <v>-6585</v>
      </c>
      <c r="D9">
        <v>-33019</v>
      </c>
      <c r="E9">
        <v>-1298</v>
      </c>
      <c r="F9">
        <v>-26246</v>
      </c>
    </row>
    <row r="10" spans="1:6" x14ac:dyDescent="0.2">
      <c r="A10" t="s">
        <v>5</v>
      </c>
      <c r="B10">
        <v>77805</v>
      </c>
      <c r="C10">
        <v>25935</v>
      </c>
      <c r="D10">
        <v>129674</v>
      </c>
      <c r="E10">
        <v>5187</v>
      </c>
      <c r="F10">
        <v>103739</v>
      </c>
    </row>
    <row r="19" spans="1:11" x14ac:dyDescent="0.2">
      <c r="B19">
        <v>1.3252840538678701E-2</v>
      </c>
      <c r="C19">
        <v>1.75126576946667E-2</v>
      </c>
      <c r="D19">
        <v>1.1472728531487101E-2</v>
      </c>
      <c r="E19">
        <v>2.2445922492514699E-2</v>
      </c>
      <c r="F19">
        <v>5.4487240750695297E-2</v>
      </c>
    </row>
    <row r="20" spans="1:11" x14ac:dyDescent="0.2">
      <c r="B20">
        <v>5.67169484423421E-3</v>
      </c>
      <c r="C20">
        <v>7.6874351599444399E-3</v>
      </c>
      <c r="D20">
        <v>1.1469329203202599E-2</v>
      </c>
      <c r="E20">
        <v>9.7831289508480395E-3</v>
      </c>
      <c r="F20">
        <v>4.5739801514438697E-2</v>
      </c>
    </row>
    <row r="21" spans="1:11" x14ac:dyDescent="0.2">
      <c r="B21">
        <v>-0.250171857991282</v>
      </c>
      <c r="C21">
        <v>-0.248156117675572</v>
      </c>
      <c r="D21">
        <v>-0.24437422363231401</v>
      </c>
      <c r="E21">
        <v>-0.24606042388466801</v>
      </c>
      <c r="F21">
        <v>-0.210103751321077</v>
      </c>
    </row>
    <row r="22" spans="1:11" x14ac:dyDescent="0.2">
      <c r="B22">
        <v>1</v>
      </c>
      <c r="C22">
        <v>1</v>
      </c>
      <c r="D22">
        <v>1</v>
      </c>
      <c r="E22">
        <v>1</v>
      </c>
      <c r="F22">
        <v>1</v>
      </c>
    </row>
    <row r="24" spans="1:11" x14ac:dyDescent="0.2">
      <c r="A24" t="s">
        <v>24</v>
      </c>
      <c r="B24">
        <v>51869730</v>
      </c>
      <c r="C24">
        <v>51869730</v>
      </c>
      <c r="D24">
        <v>51869730</v>
      </c>
      <c r="E24">
        <v>51869730</v>
      </c>
      <c r="F24">
        <v>51869730</v>
      </c>
    </row>
    <row r="25" spans="1:11" x14ac:dyDescent="0.2">
      <c r="A25" t="s">
        <v>20</v>
      </c>
      <c r="B25" s="6">
        <f>B7*1000000/B$24</f>
        <v>4.6076970132676607</v>
      </c>
      <c r="C25" s="6">
        <f t="shared" ref="C25:F25" si="0">C7*1000000/C$24</f>
        <v>2.3134880401343905</v>
      </c>
      <c r="D25" s="6">
        <f t="shared" si="0"/>
        <v>7.3260454604255703</v>
      </c>
      <c r="E25" s="6">
        <f t="shared" si="0"/>
        <v>0.5590929430324777</v>
      </c>
      <c r="F25" s="6">
        <f t="shared" si="0"/>
        <v>9.9479985725778786</v>
      </c>
    </row>
    <row r="26" spans="1:11" x14ac:dyDescent="0.2">
      <c r="A26" t="s">
        <v>40</v>
      </c>
      <c r="B26" s="6">
        <v>0</v>
      </c>
      <c r="C26" s="6">
        <v>4.6076970132676607</v>
      </c>
      <c r="D26" s="6">
        <v>0</v>
      </c>
      <c r="E26" s="6">
        <f>D25</f>
        <v>7.3260454604255703</v>
      </c>
      <c r="F26" s="6">
        <v>0</v>
      </c>
    </row>
    <row r="27" spans="1:11" x14ac:dyDescent="0.2">
      <c r="A27" t="s">
        <v>27</v>
      </c>
      <c r="B27" s="6">
        <f t="shared" ref="B27:F27" si="1">B9*1000000/B$24</f>
        <v>-381.8604800911823</v>
      </c>
      <c r="C27" s="6">
        <f t="shared" si="1"/>
        <v>-126.95265620237468</v>
      </c>
      <c r="D27" s="6">
        <f t="shared" si="1"/>
        <v>-636.57551330997865</v>
      </c>
      <c r="E27" s="6">
        <f t="shared" si="1"/>
        <v>-25.024228967453656</v>
      </c>
      <c r="F27" s="6">
        <f t="shared" si="1"/>
        <v>-505.99839251139343</v>
      </c>
    </row>
    <row r="29" spans="1:11" x14ac:dyDescent="0.2">
      <c r="A29" t="s">
        <v>25</v>
      </c>
      <c r="H29">
        <f>H34/(H30-H34)</f>
        <v>-0.91640449920321843</v>
      </c>
      <c r="J29">
        <f>J34/(J30-J34)</f>
        <v>-0.79406993290264694</v>
      </c>
    </row>
    <row r="30" spans="1:11" x14ac:dyDescent="0.2">
      <c r="A30" t="s">
        <v>20</v>
      </c>
      <c r="B30" s="3">
        <f>B19*1000</f>
        <v>13.252840538678701</v>
      </c>
      <c r="D30" s="3">
        <f>C19*1000</f>
        <v>17.5126576946667</v>
      </c>
      <c r="F30" s="3">
        <f>D19*1000</f>
        <v>11.472728531487101</v>
      </c>
      <c r="H30" s="3">
        <f>E19*1000</f>
        <v>22.445922492514701</v>
      </c>
      <c r="J30" s="3">
        <f>F19*1000</f>
        <v>54.4872407506953</v>
      </c>
    </row>
    <row r="31" spans="1:11" x14ac:dyDescent="0.2">
      <c r="A31" t="s">
        <v>28</v>
      </c>
      <c r="B31" s="3">
        <f>B32</f>
        <v>5.6716948442342101</v>
      </c>
      <c r="C31" s="3">
        <f>B30-B31</f>
        <v>7.5811456944444906</v>
      </c>
      <c r="D31" s="3">
        <f>D32</f>
        <v>7.6874351599444397</v>
      </c>
      <c r="E31" s="3">
        <f>D30-D31</f>
        <v>9.8252225347222613</v>
      </c>
      <c r="F31" s="3">
        <f>F32</f>
        <v>11.4693292032026</v>
      </c>
      <c r="G31" s="3">
        <f>F30-F31</f>
        <v>3.3993282845017347E-3</v>
      </c>
      <c r="H31" s="3">
        <f>H32</f>
        <v>9.7831289508480399</v>
      </c>
      <c r="I31" s="3">
        <f>H30-H31</f>
        <v>12.662793541666661</v>
      </c>
      <c r="J31" s="3">
        <f>J32</f>
        <v>45.739801514438696</v>
      </c>
      <c r="K31" s="3">
        <f>J30-J31</f>
        <v>8.7474392362566036</v>
      </c>
    </row>
    <row r="32" spans="1:11" x14ac:dyDescent="0.2">
      <c r="A32" t="s">
        <v>26</v>
      </c>
      <c r="B32" s="3">
        <f t="shared" ref="B32" si="2">B20*1000</f>
        <v>5.6716948442342101</v>
      </c>
      <c r="D32" s="3">
        <f>C20*1000</f>
        <v>7.6874351599444397</v>
      </c>
      <c r="F32" s="3">
        <f>D20*1000</f>
        <v>11.4693292032026</v>
      </c>
      <c r="H32" s="3">
        <f>E20*1000</f>
        <v>9.7831289508480399</v>
      </c>
      <c r="J32" s="3">
        <f>F20*1000</f>
        <v>45.739801514438696</v>
      </c>
    </row>
    <row r="33" spans="1:11" x14ac:dyDescent="0.2">
      <c r="A33" t="s">
        <v>29</v>
      </c>
      <c r="B33" s="3">
        <f>B34</f>
        <v>-250.171857991282</v>
      </c>
      <c r="C33" s="3">
        <f>IF(B34&lt;0,B32,B32-B34)</f>
        <v>5.6716948442342101</v>
      </c>
      <c r="D33" s="3">
        <f>D34</f>
        <v>-248.15611767557201</v>
      </c>
      <c r="E33" s="3">
        <f>IF(D34&lt;0,D32,D32-D34)</f>
        <v>7.6874351599444397</v>
      </c>
      <c r="F33" s="3">
        <f>F34</f>
        <v>-244.374223632314</v>
      </c>
      <c r="G33" s="3">
        <f>IF(F34&lt;0,F32,F32-F34)</f>
        <v>11.4693292032026</v>
      </c>
      <c r="H33" s="3">
        <f>H34</f>
        <v>-246.06042388466801</v>
      </c>
      <c r="I33" s="3">
        <f>IF(H34&lt;0,H32,H32-H34)</f>
        <v>9.7831289508480399</v>
      </c>
      <c r="J33" s="3">
        <f>J34</f>
        <v>-210.103751321077</v>
      </c>
      <c r="K33" s="3">
        <f>IF(J34&lt;0,J32,J32-J34)</f>
        <v>45.739801514438696</v>
      </c>
    </row>
    <row r="34" spans="1:11" x14ac:dyDescent="0.2">
      <c r="A34" t="s">
        <v>30</v>
      </c>
      <c r="B34" s="3">
        <f t="shared" ref="B34" si="3">B21*1000</f>
        <v>-250.171857991282</v>
      </c>
      <c r="D34" s="3">
        <f>C21*1000</f>
        <v>-248.15611767557201</v>
      </c>
      <c r="F34" s="3">
        <f>D21*1000</f>
        <v>-244.374223632314</v>
      </c>
      <c r="H34" s="3">
        <f>E21*1000</f>
        <v>-246.06042388466801</v>
      </c>
      <c r="J34" s="3">
        <f>F21*1000</f>
        <v>-210.103751321077</v>
      </c>
    </row>
    <row r="39" spans="1:11" x14ac:dyDescent="0.2">
      <c r="B39" t="s">
        <v>31</v>
      </c>
      <c r="C39" t="s">
        <v>32</v>
      </c>
      <c r="D39" t="s">
        <v>33</v>
      </c>
    </row>
    <row r="40" spans="1:11" x14ac:dyDescent="0.2">
      <c r="B40" s="3">
        <f>D7/$B$24*1000000</f>
        <v>7.3260454604255694</v>
      </c>
      <c r="C40" s="3">
        <f>D11/$B$24*1000000</f>
        <v>0</v>
      </c>
      <c r="D40" s="3">
        <f>D15/$B$24*1000000</f>
        <v>0</v>
      </c>
    </row>
    <row r="41" spans="1:11" x14ac:dyDescent="0.2">
      <c r="B41" s="3">
        <f>D8/$B$24*1000000</f>
        <v>3.0268135191758274</v>
      </c>
      <c r="C41" s="3">
        <f>D12/$B$24*1000000</f>
        <v>0</v>
      </c>
      <c r="D41" s="3">
        <f>D16/$B$24*1000000</f>
        <v>0</v>
      </c>
    </row>
    <row r="42" spans="1:11" x14ac:dyDescent="0.2">
      <c r="B42" s="3">
        <f>D9/$B$24*1000000</f>
        <v>-636.57551330997865</v>
      </c>
      <c r="C42" s="3">
        <f>D13/$B$24*1000000</f>
        <v>0</v>
      </c>
      <c r="D42" s="3">
        <f>D17/$B$24*1000000</f>
        <v>0</v>
      </c>
    </row>
    <row r="43" spans="1:11" x14ac:dyDescent="0.2">
      <c r="A43" t="s">
        <v>23</v>
      </c>
      <c r="B43" s="3">
        <f>D10/$B$24*1000</f>
        <v>2.4999937343032248</v>
      </c>
      <c r="C43" s="3">
        <f>D14/$B$24*1000</f>
        <v>0</v>
      </c>
      <c r="D43" s="3">
        <f>D18/$B$24*1000</f>
        <v>0</v>
      </c>
    </row>
    <row r="67" spans="6:10" x14ac:dyDescent="0.2">
      <c r="F67">
        <v>1</v>
      </c>
      <c r="G67">
        <v>2</v>
      </c>
      <c r="H67">
        <v>3</v>
      </c>
      <c r="I67">
        <v>4</v>
      </c>
      <c r="J67">
        <v>5</v>
      </c>
    </row>
  </sheetData>
  <conditionalFormatting sqref="B4:D5">
    <cfRule type="iconSet" priority="2">
      <iconSet iconSet="3Symbols">
        <cfvo type="percent" val="0"/>
        <cfvo type="percent" val="33"/>
        <cfvo type="percent" val="67"/>
      </iconSet>
    </cfRule>
  </conditionalFormatting>
  <conditionalFormatting sqref="B4:C5">
    <cfRule type="iconSet" priority="1">
      <iconSet showValue="0">
        <cfvo type="percent" val="0"/>
        <cfvo type="num" val="-1"/>
        <cfvo type="num" val="1"/>
      </iconSet>
    </cfRule>
  </conditionalFormatting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22"/>
  <sheetViews>
    <sheetView showGridLines="0" topLeftCell="A15" workbookViewId="0">
      <selection activeCell="G7" sqref="G7"/>
    </sheetView>
  </sheetViews>
  <sheetFormatPr baseColWidth="10" defaultRowHeight="16" x14ac:dyDescent="0.2"/>
  <sheetData>
    <row r="2" spans="1:6" x14ac:dyDescent="0.2">
      <c r="A2" t="s">
        <v>0</v>
      </c>
      <c r="B2" t="s">
        <v>3</v>
      </c>
    </row>
    <row r="3" spans="1:6" x14ac:dyDescent="0.2">
      <c r="A3" t="s">
        <v>4</v>
      </c>
      <c r="C3" t="s">
        <v>3</v>
      </c>
    </row>
    <row r="4" spans="1:6" x14ac:dyDescent="0.2">
      <c r="A4" t="s">
        <v>9</v>
      </c>
      <c r="B4" s="1"/>
      <c r="C4" s="1"/>
      <c r="D4" t="s">
        <v>3</v>
      </c>
    </row>
    <row r="5" spans="1:6" x14ac:dyDescent="0.2">
      <c r="A5" t="s">
        <v>2</v>
      </c>
      <c r="B5" s="1"/>
      <c r="C5" s="1"/>
      <c r="E5" t="s">
        <v>3</v>
      </c>
    </row>
    <row r="6" spans="1:6" x14ac:dyDescent="0.2">
      <c r="B6" t="s">
        <v>0</v>
      </c>
      <c r="C6" t="s">
        <v>4</v>
      </c>
      <c r="D6" t="s">
        <v>10</v>
      </c>
      <c r="E6" t="s">
        <v>14</v>
      </c>
      <c r="F6" t="s">
        <v>15</v>
      </c>
    </row>
    <row r="7" spans="1:6" x14ac:dyDescent="0.2">
      <c r="A7" t="s">
        <v>6</v>
      </c>
      <c r="B7">
        <v>239</v>
      </c>
      <c r="C7">
        <v>120</v>
      </c>
      <c r="D7">
        <v>29</v>
      </c>
      <c r="E7">
        <v>380</v>
      </c>
      <c r="F7">
        <v>516</v>
      </c>
    </row>
    <row r="8" spans="1:6" x14ac:dyDescent="0.2">
      <c r="A8" t="s">
        <v>7</v>
      </c>
      <c r="B8">
        <v>99</v>
      </c>
      <c r="C8">
        <v>50</v>
      </c>
      <c r="D8">
        <v>29</v>
      </c>
      <c r="E8">
        <v>157</v>
      </c>
      <c r="F8">
        <v>295</v>
      </c>
    </row>
    <row r="9" spans="1:6" x14ac:dyDescent="0.2">
      <c r="A9" t="s">
        <v>8</v>
      </c>
      <c r="B9">
        <v>-19807</v>
      </c>
      <c r="C9">
        <v>-6585</v>
      </c>
      <c r="D9">
        <v>-1298</v>
      </c>
      <c r="E9">
        <v>-33019</v>
      </c>
      <c r="F9">
        <v>-26246</v>
      </c>
    </row>
    <row r="10" spans="1:6" x14ac:dyDescent="0.2">
      <c r="A10" t="s">
        <v>5</v>
      </c>
      <c r="B10">
        <v>77805</v>
      </c>
      <c r="C10">
        <v>25935</v>
      </c>
      <c r="D10">
        <v>5187</v>
      </c>
      <c r="E10">
        <v>129674</v>
      </c>
      <c r="F10">
        <v>103739</v>
      </c>
    </row>
    <row r="11" spans="1:6" x14ac:dyDescent="0.2"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2"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2">
      <c r="B13">
        <v>0</v>
      </c>
      <c r="C13">
        <v>0</v>
      </c>
      <c r="D13">
        <v>0</v>
      </c>
      <c r="E13">
        <v>0</v>
      </c>
      <c r="F13">
        <v>0</v>
      </c>
    </row>
    <row r="14" spans="1:6" x14ac:dyDescent="0.2">
      <c r="B14">
        <v>0</v>
      </c>
      <c r="C14">
        <v>0</v>
      </c>
      <c r="D14">
        <v>0</v>
      </c>
      <c r="E14">
        <v>0</v>
      </c>
      <c r="F14">
        <v>0</v>
      </c>
    </row>
    <row r="15" spans="1:6" x14ac:dyDescent="0.2">
      <c r="B15">
        <v>0</v>
      </c>
      <c r="C15">
        <v>0</v>
      </c>
      <c r="D15">
        <v>0</v>
      </c>
      <c r="E15">
        <v>0</v>
      </c>
      <c r="F15">
        <v>0</v>
      </c>
    </row>
    <row r="16" spans="1:6" x14ac:dyDescent="0.2">
      <c r="B16">
        <v>0</v>
      </c>
      <c r="C16">
        <v>0</v>
      </c>
      <c r="D16">
        <v>0</v>
      </c>
      <c r="E16">
        <v>0</v>
      </c>
      <c r="F16">
        <v>0</v>
      </c>
    </row>
    <row r="17" spans="2:6" x14ac:dyDescent="0.2">
      <c r="B17">
        <v>0</v>
      </c>
      <c r="C17">
        <v>0</v>
      </c>
      <c r="D17">
        <v>0</v>
      </c>
      <c r="E17">
        <v>0</v>
      </c>
      <c r="F17">
        <v>0</v>
      </c>
    </row>
    <row r="18" spans="2:6" x14ac:dyDescent="0.2">
      <c r="B18">
        <v>0</v>
      </c>
      <c r="C18">
        <v>0</v>
      </c>
      <c r="D18">
        <v>0</v>
      </c>
      <c r="E18">
        <v>0</v>
      </c>
      <c r="F18">
        <v>0</v>
      </c>
    </row>
    <row r="19" spans="2:6" x14ac:dyDescent="0.2">
      <c r="B19">
        <v>1.3252840538678701E-2</v>
      </c>
      <c r="C19">
        <v>1.75126576946667E-2</v>
      </c>
      <c r="D19">
        <v>1.1472728531487101E-2</v>
      </c>
      <c r="E19">
        <v>2.2445922492514699E-2</v>
      </c>
      <c r="F19">
        <v>5.4487240750695297E-2</v>
      </c>
    </row>
    <row r="20" spans="2:6" x14ac:dyDescent="0.2">
      <c r="B20">
        <v>5.67169484423421E-3</v>
      </c>
      <c r="C20">
        <v>7.6874351599444399E-3</v>
      </c>
      <c r="D20">
        <v>1.1469329203202599E-2</v>
      </c>
      <c r="E20">
        <v>9.7831289508480395E-3</v>
      </c>
      <c r="F20">
        <v>4.5739801514438697E-2</v>
      </c>
    </row>
    <row r="21" spans="2:6" x14ac:dyDescent="0.2">
      <c r="B21">
        <v>-0.250171857991282</v>
      </c>
      <c r="C21">
        <v>-0.248156117675572</v>
      </c>
      <c r="D21">
        <v>-0.24437422363231401</v>
      </c>
      <c r="E21">
        <v>-0.24606042388466801</v>
      </c>
      <c r="F21">
        <v>-0.210103751321077</v>
      </c>
    </row>
    <row r="22" spans="2:6" x14ac:dyDescent="0.2">
      <c r="B22">
        <v>1</v>
      </c>
      <c r="C22">
        <v>1</v>
      </c>
      <c r="D22">
        <v>1</v>
      </c>
      <c r="E22">
        <v>1</v>
      </c>
      <c r="F22">
        <v>1</v>
      </c>
    </row>
  </sheetData>
  <conditionalFormatting sqref="B4:D5">
    <cfRule type="iconSet" priority="2">
      <iconSet iconSet="3Symbols">
        <cfvo type="percent" val="0"/>
        <cfvo type="percent" val="33"/>
        <cfvo type="percent" val="67"/>
      </iconSet>
    </cfRule>
  </conditionalFormatting>
  <conditionalFormatting sqref="B4:C5">
    <cfRule type="iconSet" priority="1">
      <iconSet showValue="0">
        <cfvo type="percent" val="0"/>
        <cfvo type="num" val="-1"/>
        <cfvo type="num" val="1"/>
      </iconSet>
    </cfRule>
  </conditionalFormatting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2:K67"/>
  <sheetViews>
    <sheetView showGridLines="0" topLeftCell="A36" workbookViewId="0">
      <selection activeCell="E63" sqref="E63"/>
    </sheetView>
  </sheetViews>
  <sheetFormatPr baseColWidth="10" defaultRowHeight="16" x14ac:dyDescent="0.2"/>
  <sheetData>
    <row r="2" spans="1:7" x14ac:dyDescent="0.2">
      <c r="A2" t="s">
        <v>0</v>
      </c>
      <c r="B2" t="s">
        <v>3</v>
      </c>
    </row>
    <row r="3" spans="1:7" x14ac:dyDescent="0.2">
      <c r="A3" t="s">
        <v>4</v>
      </c>
      <c r="C3" t="s">
        <v>3</v>
      </c>
    </row>
    <row r="4" spans="1:7" x14ac:dyDescent="0.2">
      <c r="A4" t="s">
        <v>9</v>
      </c>
      <c r="B4" s="1"/>
      <c r="C4" s="1"/>
      <c r="D4" t="s">
        <v>3</v>
      </c>
    </row>
    <row r="5" spans="1:7" x14ac:dyDescent="0.2">
      <c r="A5" t="s">
        <v>2</v>
      </c>
      <c r="B5" s="1"/>
      <c r="C5" s="1"/>
      <c r="E5" t="s">
        <v>3</v>
      </c>
    </row>
    <row r="6" spans="1:7" x14ac:dyDescent="0.2">
      <c r="B6" t="s">
        <v>0</v>
      </c>
      <c r="C6" t="s">
        <v>11</v>
      </c>
      <c r="D6" t="s">
        <v>13</v>
      </c>
      <c r="E6" t="s">
        <v>12</v>
      </c>
      <c r="F6" t="s">
        <v>17</v>
      </c>
      <c r="G6" t="s">
        <v>18</v>
      </c>
    </row>
    <row r="7" spans="1:7" x14ac:dyDescent="0.2">
      <c r="A7" t="s">
        <v>6</v>
      </c>
      <c r="B7">
        <v>229</v>
      </c>
      <c r="C7">
        <v>45</v>
      </c>
      <c r="D7">
        <v>30</v>
      </c>
      <c r="E7">
        <v>556</v>
      </c>
      <c r="F7">
        <v>602</v>
      </c>
      <c r="G7">
        <v>597</v>
      </c>
    </row>
    <row r="8" spans="1:7" x14ac:dyDescent="0.2">
      <c r="A8" t="s">
        <v>7</v>
      </c>
      <c r="B8">
        <v>79</v>
      </c>
      <c r="C8">
        <v>45</v>
      </c>
      <c r="D8">
        <v>30</v>
      </c>
      <c r="E8">
        <v>245</v>
      </c>
      <c r="F8">
        <v>291</v>
      </c>
      <c r="G8">
        <v>288</v>
      </c>
    </row>
    <row r="9" spans="1:7" x14ac:dyDescent="0.2">
      <c r="A9" t="s">
        <v>8</v>
      </c>
      <c r="B9">
        <v>-11561</v>
      </c>
      <c r="C9">
        <v>0</v>
      </c>
      <c r="D9">
        <v>-164</v>
      </c>
      <c r="E9">
        <v>-19155</v>
      </c>
      <c r="F9">
        <v>-19109</v>
      </c>
      <c r="G9">
        <v>-19112</v>
      </c>
    </row>
    <row r="10" spans="1:7" x14ac:dyDescent="0.2">
      <c r="A10" t="s">
        <v>5</v>
      </c>
      <c r="B10">
        <v>45497</v>
      </c>
      <c r="C10">
        <v>154</v>
      </c>
      <c r="D10">
        <v>758</v>
      </c>
      <c r="E10">
        <v>75829</v>
      </c>
      <c r="F10">
        <v>75829</v>
      </c>
      <c r="G10">
        <v>75829</v>
      </c>
    </row>
    <row r="11" spans="1:7" x14ac:dyDescent="0.2">
      <c r="B11">
        <v>0</v>
      </c>
      <c r="C11">
        <v>0</v>
      </c>
      <c r="D11">
        <v>26</v>
      </c>
      <c r="E11">
        <v>0</v>
      </c>
      <c r="F11">
        <v>0</v>
      </c>
    </row>
    <row r="12" spans="1:7" x14ac:dyDescent="0.2">
      <c r="B12">
        <v>0</v>
      </c>
      <c r="C12">
        <v>0</v>
      </c>
      <c r="D12">
        <v>21</v>
      </c>
      <c r="E12">
        <v>0</v>
      </c>
      <c r="F12">
        <v>0</v>
      </c>
    </row>
    <row r="13" spans="1:7" x14ac:dyDescent="0.2">
      <c r="B13">
        <v>0</v>
      </c>
      <c r="C13">
        <v>0</v>
      </c>
      <c r="D13">
        <v>0</v>
      </c>
      <c r="E13">
        <v>0</v>
      </c>
      <c r="F13">
        <v>0</v>
      </c>
    </row>
    <row r="14" spans="1:7" x14ac:dyDescent="0.2">
      <c r="B14">
        <v>0</v>
      </c>
      <c r="C14">
        <v>0</v>
      </c>
      <c r="D14">
        <v>60</v>
      </c>
      <c r="E14">
        <v>0</v>
      </c>
      <c r="F14">
        <v>0</v>
      </c>
    </row>
    <row r="15" spans="1:7" x14ac:dyDescent="0.2">
      <c r="B15">
        <v>0</v>
      </c>
      <c r="C15">
        <v>0</v>
      </c>
      <c r="D15">
        <v>17</v>
      </c>
      <c r="E15">
        <v>0</v>
      </c>
      <c r="F15">
        <v>0</v>
      </c>
    </row>
    <row r="16" spans="1:7" x14ac:dyDescent="0.2">
      <c r="B16">
        <v>0</v>
      </c>
      <c r="C16">
        <v>0</v>
      </c>
      <c r="D16">
        <v>14</v>
      </c>
      <c r="E16">
        <v>0</v>
      </c>
      <c r="F16">
        <v>0</v>
      </c>
    </row>
    <row r="17" spans="1:11" x14ac:dyDescent="0.2">
      <c r="B17">
        <v>0</v>
      </c>
      <c r="C17">
        <v>0</v>
      </c>
      <c r="D17">
        <v>1</v>
      </c>
      <c r="E17">
        <v>0</v>
      </c>
      <c r="F17">
        <v>0</v>
      </c>
    </row>
    <row r="18" spans="1:11" x14ac:dyDescent="0.2">
      <c r="B18">
        <v>0</v>
      </c>
      <c r="C18">
        <v>0</v>
      </c>
      <c r="D18">
        <v>52</v>
      </c>
      <c r="E18">
        <v>0</v>
      </c>
      <c r="F18">
        <v>0</v>
      </c>
    </row>
    <row r="19" spans="1:11" x14ac:dyDescent="0.2">
      <c r="B19">
        <v>1.3252840538678701E-2</v>
      </c>
      <c r="C19">
        <v>1.75126576946667E-2</v>
      </c>
      <c r="D19">
        <v>0.32568632024546601</v>
      </c>
      <c r="E19">
        <v>0.15392734457616</v>
      </c>
      <c r="F19">
        <v>1.1472728531487101E-2</v>
      </c>
    </row>
    <row r="20" spans="1:11" x14ac:dyDescent="0.2">
      <c r="B20">
        <v>5.67169484423421E-3</v>
      </c>
      <c r="C20">
        <v>7.6874351599444399E-3</v>
      </c>
      <c r="D20">
        <v>0.27715830228515698</v>
      </c>
      <c r="E20">
        <v>0.15392734457616</v>
      </c>
      <c r="F20">
        <v>1.1469329203202599E-2</v>
      </c>
    </row>
    <row r="21" spans="1:11" x14ac:dyDescent="0.2">
      <c r="B21">
        <v>-0.250171857991282</v>
      </c>
      <c r="C21">
        <v>-0.248156117675572</v>
      </c>
      <c r="D21">
        <v>2.13147494496412E-2</v>
      </c>
      <c r="E21">
        <v>-0.101916208259356</v>
      </c>
      <c r="F21">
        <v>-0.24437422363231401</v>
      </c>
    </row>
    <row r="22" spans="1:11" x14ac:dyDescent="0.2">
      <c r="B22">
        <v>1</v>
      </c>
      <c r="C22">
        <v>1</v>
      </c>
      <c r="D22">
        <v>1</v>
      </c>
      <c r="E22">
        <v>1</v>
      </c>
      <c r="F22">
        <v>1</v>
      </c>
    </row>
    <row r="24" spans="1:11" x14ac:dyDescent="0.2">
      <c r="A24" t="s">
        <v>24</v>
      </c>
      <c r="B24">
        <v>51869730</v>
      </c>
      <c r="C24">
        <v>51869730</v>
      </c>
      <c r="D24">
        <v>51869730</v>
      </c>
      <c r="E24">
        <v>51869730</v>
      </c>
      <c r="F24">
        <v>51869730</v>
      </c>
      <c r="G24">
        <v>51869730</v>
      </c>
    </row>
    <row r="25" spans="1:11" x14ac:dyDescent="0.2">
      <c r="A25" t="s">
        <v>20</v>
      </c>
      <c r="B25" s="6">
        <f>B7*1000000/B$24</f>
        <v>4.4149063432564617</v>
      </c>
      <c r="C25" s="6">
        <f t="shared" ref="C25:F25" si="0">C7*1000000/C$24</f>
        <v>0.86755801505039642</v>
      </c>
      <c r="D25" s="6">
        <f t="shared" si="0"/>
        <v>0.57837201003359762</v>
      </c>
      <c r="E25" s="6">
        <f t="shared" si="0"/>
        <v>10.719161252622676</v>
      </c>
      <c r="F25" s="6">
        <f t="shared" si="0"/>
        <v>11.605998334674192</v>
      </c>
      <c r="G25" s="6">
        <f t="shared" ref="G25" si="1">G7*1000000/G$24</f>
        <v>11.509602999668592</v>
      </c>
    </row>
    <row r="26" spans="1:11" x14ac:dyDescent="0.2">
      <c r="A26" t="s">
        <v>40</v>
      </c>
      <c r="B26" s="6">
        <f>B10/B24*1000</f>
        <v>0.87713971134995306</v>
      </c>
      <c r="C26" s="6">
        <f t="shared" ref="C26:F26" si="2">C10/C24*1000</f>
        <v>2.9689763181724679E-3</v>
      </c>
      <c r="D26" s="6">
        <f t="shared" si="2"/>
        <v>1.4613532786848901E-2</v>
      </c>
      <c r="E26" s="6">
        <f t="shared" si="2"/>
        <v>1.4619123716279225</v>
      </c>
      <c r="F26" s="6">
        <f t="shared" si="2"/>
        <v>1.4619123716279225</v>
      </c>
      <c r="G26" s="6">
        <f t="shared" ref="G26" si="3">G10/G24*1000</f>
        <v>1.4619123716279225</v>
      </c>
    </row>
    <row r="27" spans="1:11" x14ac:dyDescent="0.2">
      <c r="A27" t="s">
        <v>27</v>
      </c>
      <c r="B27" s="6">
        <f t="shared" ref="B27:F27" si="4">B9*1000000/B$24</f>
        <v>-222.8852935999474</v>
      </c>
      <c r="C27" s="6">
        <f t="shared" si="4"/>
        <v>0</v>
      </c>
      <c r="D27" s="6">
        <f t="shared" si="4"/>
        <v>-3.161766988183667</v>
      </c>
      <c r="E27" s="6">
        <f t="shared" si="4"/>
        <v>-369.2905284064521</v>
      </c>
      <c r="F27" s="6">
        <f t="shared" si="4"/>
        <v>-368.4036913244006</v>
      </c>
      <c r="G27" s="6">
        <f t="shared" ref="G27" si="5">G9*1000000/G$24</f>
        <v>-368.46152852540393</v>
      </c>
    </row>
    <row r="29" spans="1:11" x14ac:dyDescent="0.2">
      <c r="A29" t="s">
        <v>25</v>
      </c>
    </row>
    <row r="30" spans="1:11" x14ac:dyDescent="0.2">
      <c r="A30" t="s">
        <v>20</v>
      </c>
      <c r="B30" s="3">
        <f>B19*1000</f>
        <v>13.252840538678701</v>
      </c>
      <c r="D30" s="3">
        <f>C19*1000</f>
        <v>17.5126576946667</v>
      </c>
      <c r="F30" s="3">
        <f>D19*1000</f>
        <v>325.68632024546599</v>
      </c>
      <c r="H30" s="3">
        <f>E19*1000</f>
        <v>153.92734457616001</v>
      </c>
      <c r="J30" s="3">
        <f>F19*1000</f>
        <v>11.472728531487101</v>
      </c>
    </row>
    <row r="31" spans="1:11" x14ac:dyDescent="0.2">
      <c r="A31" t="s">
        <v>28</v>
      </c>
      <c r="B31" s="3">
        <f>B32</f>
        <v>5.6716948442342101</v>
      </c>
      <c r="C31" s="3">
        <f>B30-B31</f>
        <v>7.5811456944444906</v>
      </c>
      <c r="D31" s="3">
        <f>D32</f>
        <v>7.6874351599444397</v>
      </c>
      <c r="E31" s="3">
        <f>D30-D31</f>
        <v>9.8252225347222613</v>
      </c>
      <c r="F31" s="3">
        <f>F32</f>
        <v>277.15830228515699</v>
      </c>
      <c r="G31" s="3">
        <f>F30-F31</f>
        <v>48.528017960309001</v>
      </c>
      <c r="H31" s="3">
        <f>H32</f>
        <v>153.92734457616001</v>
      </c>
      <c r="I31" s="3">
        <f>H30-H31</f>
        <v>0</v>
      </c>
      <c r="J31" s="3">
        <f>J32</f>
        <v>11.4693292032026</v>
      </c>
      <c r="K31" s="3">
        <f>J30-J31</f>
        <v>3.3993282845017347E-3</v>
      </c>
    </row>
    <row r="32" spans="1:11" x14ac:dyDescent="0.2">
      <c r="A32" t="s">
        <v>26</v>
      </c>
      <c r="B32" s="3">
        <f t="shared" ref="B32" si="6">B20*1000</f>
        <v>5.6716948442342101</v>
      </c>
      <c r="D32" s="3">
        <f>C20*1000</f>
        <v>7.6874351599444397</v>
      </c>
      <c r="F32" s="3">
        <f>D20*1000</f>
        <v>277.15830228515699</v>
      </c>
      <c r="H32" s="3">
        <f>E20*1000</f>
        <v>153.92734457616001</v>
      </c>
      <c r="J32" s="3">
        <f>F20*1000</f>
        <v>11.4693292032026</v>
      </c>
    </row>
    <row r="33" spans="1:11" x14ac:dyDescent="0.2">
      <c r="A33" t="s">
        <v>29</v>
      </c>
      <c r="B33" s="3">
        <f>B34</f>
        <v>-250.171857991282</v>
      </c>
      <c r="C33" s="3">
        <f>IF(B34&lt;0,B32,B32-B34)</f>
        <v>5.6716948442342101</v>
      </c>
      <c r="D33" s="3">
        <f>D34</f>
        <v>-248.15611767557201</v>
      </c>
      <c r="E33" s="3">
        <f>IF(D34&lt;0,D32,D32-D34)</f>
        <v>7.6874351599444397</v>
      </c>
      <c r="F33" s="3">
        <f>F34</f>
        <v>21.314749449641202</v>
      </c>
      <c r="G33" s="3">
        <f>IF(F34&lt;0,F32,F32-F34)</f>
        <v>255.84355283551579</v>
      </c>
      <c r="H33" s="3">
        <f>H34</f>
        <v>-101.916208259356</v>
      </c>
      <c r="I33" s="3">
        <f>IF(H34&lt;0,H32,H32-H34)</f>
        <v>153.92734457616001</v>
      </c>
      <c r="J33" s="3">
        <f>J34</f>
        <v>-244.374223632314</v>
      </c>
      <c r="K33" s="3">
        <f>IF(J34&lt;0,J32,J32-J34)</f>
        <v>11.4693292032026</v>
      </c>
    </row>
    <row r="34" spans="1:11" x14ac:dyDescent="0.2">
      <c r="A34" t="s">
        <v>30</v>
      </c>
      <c r="B34" s="3">
        <f t="shared" ref="B34" si="7">B21*1000</f>
        <v>-250.171857991282</v>
      </c>
      <c r="D34" s="3">
        <f>C21*1000</f>
        <v>-248.15611767557201</v>
      </c>
      <c r="F34" s="3">
        <f>D21*1000</f>
        <v>21.314749449641202</v>
      </c>
      <c r="H34" s="3">
        <f>E21*1000</f>
        <v>-101.916208259356</v>
      </c>
      <c r="J34" s="3">
        <f>F21*1000</f>
        <v>-244.374223632314</v>
      </c>
    </row>
    <row r="35" spans="1:11" x14ac:dyDescent="0.2">
      <c r="A35" t="s">
        <v>35</v>
      </c>
      <c r="B35">
        <f>B34/(B30-B34)</f>
        <v>-0.94969021275288124</v>
      </c>
      <c r="D35">
        <f>D34/(D30-D34)</f>
        <v>-0.93408085812771613</v>
      </c>
      <c r="F35">
        <f>F34/(F30-F34)</f>
        <v>7.0028713239908114E-2</v>
      </c>
      <c r="H35">
        <f>H34/(H30-H34)</f>
        <v>-0.39835363107578015</v>
      </c>
      <c r="J35">
        <f>J34/(J30-J34)</f>
        <v>-0.95515784560082662</v>
      </c>
    </row>
    <row r="39" spans="1:11" x14ac:dyDescent="0.2">
      <c r="B39" t="s">
        <v>31</v>
      </c>
      <c r="C39" t="s">
        <v>32</v>
      </c>
      <c r="D39" t="s">
        <v>33</v>
      </c>
    </row>
    <row r="40" spans="1:11" x14ac:dyDescent="0.2">
      <c r="B40" s="3">
        <f>D7/$B$24*1000000</f>
        <v>0.57837201003359762</v>
      </c>
      <c r="C40" s="3">
        <f>D11/$B$24*1000000</f>
        <v>0.50125574202911793</v>
      </c>
      <c r="D40" s="3">
        <f>D15/$B$24*1000000</f>
        <v>0.3277441390190387</v>
      </c>
    </row>
    <row r="41" spans="1:11" x14ac:dyDescent="0.2">
      <c r="B41" s="3">
        <f>D8/$B$24*1000000</f>
        <v>0.57837201003359762</v>
      </c>
      <c r="C41" s="3">
        <f>D12/$B$24*1000000</f>
        <v>0.40486040702351833</v>
      </c>
      <c r="D41" s="3">
        <f>D16/$B$24*1000000</f>
        <v>0.26990693801567894</v>
      </c>
    </row>
    <row r="42" spans="1:11" x14ac:dyDescent="0.2">
      <c r="B42" s="3">
        <f>D9/$B$24*1000000</f>
        <v>-3.161766988183667</v>
      </c>
      <c r="C42" s="3">
        <f>D13/$B$24*1000000</f>
        <v>0</v>
      </c>
      <c r="D42" s="3">
        <f>D17/$B$24*1000000</f>
        <v>1.9279067001119921E-2</v>
      </c>
    </row>
    <row r="43" spans="1:11" x14ac:dyDescent="0.2">
      <c r="A43" t="s">
        <v>23</v>
      </c>
      <c r="B43" s="3">
        <f>D10/$B$24*1000</f>
        <v>1.4613532786848901E-2</v>
      </c>
      <c r="C43" s="3">
        <f>D14/$B$24*1000</f>
        <v>1.1567440200671952E-3</v>
      </c>
      <c r="D43" s="3">
        <f>D18/$B$24*1000</f>
        <v>1.002511484058236E-3</v>
      </c>
    </row>
    <row r="67" spans="6:10" x14ac:dyDescent="0.2">
      <c r="F67">
        <v>1</v>
      </c>
      <c r="G67">
        <v>2</v>
      </c>
      <c r="H67">
        <v>3</v>
      </c>
      <c r="I67">
        <v>4</v>
      </c>
      <c r="J67">
        <v>5</v>
      </c>
    </row>
  </sheetData>
  <conditionalFormatting sqref="B4:D5">
    <cfRule type="iconSet" priority="2">
      <iconSet iconSet="3Symbols">
        <cfvo type="percent" val="0"/>
        <cfvo type="percent" val="33"/>
        <cfvo type="percent" val="67"/>
      </iconSet>
    </cfRule>
  </conditionalFormatting>
  <conditionalFormatting sqref="B4:C5">
    <cfRule type="iconSet" priority="1">
      <iconSet showValue="0">
        <cfvo type="percent" val="0"/>
        <cfvo type="num" val="-1"/>
        <cfvo type="num" val="1"/>
      </iconSet>
    </cfRule>
  </conditionalFormatting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2:V67"/>
  <sheetViews>
    <sheetView showGridLines="0" topLeftCell="G31" workbookViewId="0">
      <selection activeCell="Q54" sqref="Q54"/>
    </sheetView>
  </sheetViews>
  <sheetFormatPr baseColWidth="10" defaultRowHeight="16" x14ac:dyDescent="0.2"/>
  <sheetData>
    <row r="2" spans="1:22" x14ac:dyDescent="0.2">
      <c r="A2" t="s">
        <v>0</v>
      </c>
      <c r="B2" t="s">
        <v>3</v>
      </c>
    </row>
    <row r="3" spans="1:22" x14ac:dyDescent="0.2">
      <c r="A3" t="s">
        <v>4</v>
      </c>
      <c r="C3" t="s">
        <v>3</v>
      </c>
      <c r="L3">
        <f>6.15^0.1-1</f>
        <v>0.19918865607206437</v>
      </c>
      <c r="M3">
        <v>1</v>
      </c>
      <c r="N3">
        <v>2</v>
      </c>
      <c r="O3">
        <v>3</v>
      </c>
      <c r="P3">
        <v>4</v>
      </c>
      <c r="Q3">
        <v>5</v>
      </c>
      <c r="R3">
        <v>6</v>
      </c>
      <c r="S3">
        <v>7</v>
      </c>
      <c r="T3">
        <v>8</v>
      </c>
      <c r="U3">
        <v>9</v>
      </c>
      <c r="V3">
        <v>10</v>
      </c>
    </row>
    <row r="4" spans="1:22" x14ac:dyDescent="0.2">
      <c r="A4" t="s">
        <v>9</v>
      </c>
      <c r="B4" s="1"/>
      <c r="C4" s="1"/>
      <c r="D4" t="s">
        <v>3</v>
      </c>
      <c r="M4">
        <f>(1+$L3)^M3</f>
        <v>1.1991886560720644</v>
      </c>
      <c r="N4">
        <f t="shared" ref="N4:Q4" si="0">(1+$L3)^N3</f>
        <v>1.4380534328519239</v>
      </c>
      <c r="O4">
        <f t="shared" si="0"/>
        <v>1.7244973635015173</v>
      </c>
      <c r="P4">
        <f t="shared" si="0"/>
        <v>2.0679976757372027</v>
      </c>
      <c r="Q4">
        <f t="shared" si="0"/>
        <v>2.4799193535274489</v>
      </c>
      <c r="R4">
        <f>(1+$L3)^R3</f>
        <v>2.9738911567236843</v>
      </c>
      <c r="S4">
        <f t="shared" ref="S4" si="1">(1+$L3)^S3</f>
        <v>3.5662565395360719</v>
      </c>
      <c r="T4">
        <f t="shared" ref="T4" si="2">(1+$L3)^T3</f>
        <v>4.2766143868544724</v>
      </c>
      <c r="U4">
        <f t="shared" ref="U4" si="3">(1+$L3)^U3</f>
        <v>5.1284674591104702</v>
      </c>
      <c r="V4">
        <f t="shared" ref="V4" si="4">(1+$L3)^V3</f>
        <v>6.1499999999999995</v>
      </c>
    </row>
    <row r="5" spans="1:22" x14ac:dyDescent="0.2">
      <c r="A5" t="s">
        <v>2</v>
      </c>
      <c r="B5" s="1"/>
      <c r="C5" s="1"/>
      <c r="E5" t="s">
        <v>3</v>
      </c>
    </row>
    <row r="6" spans="1:22" x14ac:dyDescent="0.2">
      <c r="B6" t="s">
        <v>0</v>
      </c>
      <c r="C6" t="s">
        <v>11</v>
      </c>
      <c r="D6" t="s">
        <v>13</v>
      </c>
      <c r="E6" t="s">
        <v>12</v>
      </c>
      <c r="F6" t="s">
        <v>17</v>
      </c>
      <c r="G6" t="s">
        <v>18</v>
      </c>
    </row>
    <row r="7" spans="1:22" x14ac:dyDescent="0.2">
      <c r="A7" t="s">
        <v>6</v>
      </c>
      <c r="B7">
        <v>229</v>
      </c>
      <c r="C7">
        <v>45</v>
      </c>
      <c r="D7">
        <v>30</v>
      </c>
      <c r="E7">
        <v>556</v>
      </c>
      <c r="F7">
        <v>602</v>
      </c>
      <c r="G7">
        <v>597</v>
      </c>
      <c r="H7">
        <v>647</v>
      </c>
    </row>
    <row r="8" spans="1:22" x14ac:dyDescent="0.2">
      <c r="A8" t="s">
        <v>7</v>
      </c>
      <c r="B8">
        <v>79</v>
      </c>
      <c r="C8">
        <v>45</v>
      </c>
      <c r="D8">
        <v>30</v>
      </c>
      <c r="E8">
        <v>245</v>
      </c>
      <c r="F8">
        <v>291</v>
      </c>
      <c r="G8">
        <v>288</v>
      </c>
      <c r="H8">
        <v>647</v>
      </c>
    </row>
    <row r="9" spans="1:22" x14ac:dyDescent="0.2">
      <c r="A9" t="s">
        <v>8</v>
      </c>
      <c r="B9">
        <v>-11561</v>
      </c>
      <c r="C9">
        <v>0</v>
      </c>
      <c r="D9">
        <v>-164</v>
      </c>
      <c r="E9">
        <v>-19155</v>
      </c>
      <c r="F9">
        <v>-19109</v>
      </c>
      <c r="G9">
        <v>-19112</v>
      </c>
      <c r="H9">
        <f>H8-H12</f>
        <v>-1521.3899999999999</v>
      </c>
    </row>
    <row r="10" spans="1:22" x14ac:dyDescent="0.2">
      <c r="A10" t="s">
        <v>5</v>
      </c>
      <c r="B10">
        <v>45497</v>
      </c>
      <c r="C10">
        <v>154</v>
      </c>
      <c r="D10">
        <v>758</v>
      </c>
      <c r="E10">
        <v>75829</v>
      </c>
      <c r="F10">
        <v>75829</v>
      </c>
      <c r="G10">
        <v>75829</v>
      </c>
      <c r="H10">
        <v>9483</v>
      </c>
    </row>
    <row r="11" spans="1:22" x14ac:dyDescent="0.2">
      <c r="B11">
        <v>0</v>
      </c>
      <c r="C11">
        <v>45</v>
      </c>
      <c r="D11">
        <v>0</v>
      </c>
      <c r="E11">
        <v>0</v>
      </c>
      <c r="F11">
        <v>53</v>
      </c>
      <c r="G11">
        <v>0</v>
      </c>
      <c r="H11">
        <f>(G8-G9)/G10</f>
        <v>0.25583879518390062</v>
      </c>
    </row>
    <row r="12" spans="1:22" x14ac:dyDescent="0.2">
      <c r="B12">
        <v>0</v>
      </c>
      <c r="C12">
        <v>45</v>
      </c>
      <c r="D12">
        <v>0</v>
      </c>
      <c r="E12">
        <v>0</v>
      </c>
      <c r="F12">
        <v>50</v>
      </c>
      <c r="G12">
        <v>0</v>
      </c>
      <c r="H12">
        <v>2168.39</v>
      </c>
    </row>
    <row r="13" spans="1:22" x14ac:dyDescent="0.2"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f>H9/(H12)</f>
        <v>-0.70162194070254891</v>
      </c>
    </row>
    <row r="14" spans="1:22" x14ac:dyDescent="0.2">
      <c r="B14">
        <v>0</v>
      </c>
      <c r="C14">
        <v>154</v>
      </c>
      <c r="D14">
        <v>0</v>
      </c>
      <c r="E14">
        <v>0</v>
      </c>
      <c r="F14">
        <v>162</v>
      </c>
      <c r="G14">
        <v>0</v>
      </c>
    </row>
    <row r="15" spans="1:22" x14ac:dyDescent="0.2">
      <c r="B15">
        <v>0</v>
      </c>
      <c r="C15">
        <v>39</v>
      </c>
      <c r="D15">
        <v>0</v>
      </c>
      <c r="E15">
        <v>0</v>
      </c>
      <c r="F15">
        <v>42</v>
      </c>
      <c r="G15">
        <v>0</v>
      </c>
    </row>
    <row r="16" spans="1:22" x14ac:dyDescent="0.2">
      <c r="B16">
        <v>0</v>
      </c>
      <c r="C16">
        <v>39</v>
      </c>
      <c r="D16">
        <v>0</v>
      </c>
      <c r="E16">
        <v>0</v>
      </c>
      <c r="F16">
        <v>41</v>
      </c>
      <c r="G16">
        <v>0</v>
      </c>
    </row>
    <row r="17" spans="1:13" x14ac:dyDescent="0.2">
      <c r="B17">
        <v>0</v>
      </c>
      <c r="C17">
        <v>1</v>
      </c>
      <c r="D17">
        <v>0</v>
      </c>
      <c r="E17">
        <v>0</v>
      </c>
      <c r="F17">
        <v>2</v>
      </c>
      <c r="G17">
        <v>0</v>
      </c>
    </row>
    <row r="18" spans="1:13" x14ac:dyDescent="0.2">
      <c r="B18">
        <v>0</v>
      </c>
      <c r="C18">
        <v>152</v>
      </c>
      <c r="D18">
        <v>0</v>
      </c>
      <c r="E18">
        <v>0</v>
      </c>
      <c r="F18">
        <v>152</v>
      </c>
      <c r="G18">
        <v>0</v>
      </c>
    </row>
    <row r="19" spans="1:13" x14ac:dyDescent="0.2">
      <c r="B19">
        <v>1.5860913403325599E-2</v>
      </c>
      <c r="C19">
        <v>0.26693899474812099</v>
      </c>
      <c r="D19">
        <v>0.12157748470355199</v>
      </c>
      <c r="E19">
        <v>3.4324715436970098E-2</v>
      </c>
      <c r="F19">
        <v>0.281357194650528</v>
      </c>
      <c r="G19">
        <v>0.19528975036788401</v>
      </c>
    </row>
    <row r="20" spans="1:13" x14ac:dyDescent="0.2">
      <c r="B20">
        <v>5.90011965332556E-3</v>
      </c>
      <c r="C20">
        <v>0.266928978526844</v>
      </c>
      <c r="D20">
        <v>0.12156339683532801</v>
      </c>
      <c r="E20">
        <v>1.6888947728636802E-2</v>
      </c>
      <c r="F20">
        <v>0.27633719221882402</v>
      </c>
      <c r="G20">
        <v>0.175889733248698</v>
      </c>
    </row>
    <row r="21" spans="1:13" x14ac:dyDescent="0.2">
      <c r="B21">
        <v>-0.249943433182191</v>
      </c>
      <c r="C21">
        <v>1.1085425691327601E-2</v>
      </c>
      <c r="D21">
        <v>-0.134280156000188</v>
      </c>
      <c r="E21">
        <v>-0.23895460510687899</v>
      </c>
      <c r="F21">
        <v>2.0493639383307401E-2</v>
      </c>
      <c r="G21">
        <v>-7.9953819586818103E-2</v>
      </c>
    </row>
    <row r="22" spans="1:13" x14ac:dyDescent="0.2"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</row>
    <row r="24" spans="1:13" x14ac:dyDescent="0.2">
      <c r="A24" t="s">
        <v>24</v>
      </c>
      <c r="B24">
        <v>30331401</v>
      </c>
      <c r="C24">
        <v>30331401</v>
      </c>
      <c r="D24">
        <v>30331401</v>
      </c>
      <c r="E24">
        <v>30331401</v>
      </c>
      <c r="F24">
        <v>30331401</v>
      </c>
      <c r="G24">
        <v>30331401</v>
      </c>
    </row>
    <row r="25" spans="1:13" x14ac:dyDescent="0.2">
      <c r="A25" t="s">
        <v>20</v>
      </c>
      <c r="B25" s="6">
        <f>B7*1000000/B$24</f>
        <v>7.5499315049773008</v>
      </c>
      <c r="C25" s="6">
        <f t="shared" ref="C25:F25" si="5">C7*1000000/C$24</f>
        <v>1.4836109944278539</v>
      </c>
      <c r="D25" s="6">
        <f t="shared" si="5"/>
        <v>0.98907399628523585</v>
      </c>
      <c r="E25" s="6">
        <f t="shared" si="5"/>
        <v>18.330838064486372</v>
      </c>
      <c r="F25" s="6">
        <f t="shared" si="5"/>
        <v>19.847418192123733</v>
      </c>
      <c r="G25" s="6">
        <f t="shared" ref="G25" si="6">G7*1000000/G$24</f>
        <v>19.682572526076193</v>
      </c>
    </row>
    <row r="26" spans="1:13" x14ac:dyDescent="0.2">
      <c r="A26" t="s">
        <v>26</v>
      </c>
      <c r="B26" s="6">
        <f t="shared" ref="B26:F27" si="7">B8*1000000/B$24</f>
        <v>2.604561523551121</v>
      </c>
      <c r="C26" s="6">
        <f t="shared" si="7"/>
        <v>1.4836109944278539</v>
      </c>
      <c r="D26" s="6">
        <f t="shared" si="7"/>
        <v>0.98907399628523585</v>
      </c>
      <c r="E26" s="6">
        <f t="shared" si="7"/>
        <v>8.0774376363294262</v>
      </c>
      <c r="F26" s="6">
        <f t="shared" si="7"/>
        <v>9.5940177639667876</v>
      </c>
      <c r="G26" s="6">
        <f t="shared" ref="G26" si="8">G8*1000000/G$24</f>
        <v>9.4951103643382648</v>
      </c>
    </row>
    <row r="27" spans="1:13" x14ac:dyDescent="0.2">
      <c r="A27" t="s">
        <v>27</v>
      </c>
      <c r="B27" s="6">
        <f t="shared" si="7"/>
        <v>-381.15614903512039</v>
      </c>
      <c r="C27" s="6">
        <f t="shared" si="7"/>
        <v>0</v>
      </c>
      <c r="D27" s="6">
        <f t="shared" si="7"/>
        <v>-5.4069378463592894</v>
      </c>
      <c r="E27" s="6">
        <f t="shared" si="7"/>
        <v>-631.52374662812315</v>
      </c>
      <c r="F27" s="6">
        <f t="shared" si="7"/>
        <v>-630.00716650048571</v>
      </c>
      <c r="G27" s="6">
        <f t="shared" ref="G27" si="9">G9*1000000/G$24</f>
        <v>-630.10607390011432</v>
      </c>
    </row>
    <row r="29" spans="1:13" x14ac:dyDescent="0.2">
      <c r="A29" t="s">
        <v>25</v>
      </c>
    </row>
    <row r="30" spans="1:13" x14ac:dyDescent="0.2">
      <c r="A30" t="s">
        <v>20</v>
      </c>
      <c r="B30" s="3">
        <f>B19*1000</f>
        <v>15.860913403325599</v>
      </c>
      <c r="D30" s="3">
        <f>C19*1000</f>
        <v>266.93899474812099</v>
      </c>
      <c r="F30" s="3">
        <f>D19*1000</f>
        <v>121.57748470355199</v>
      </c>
      <c r="H30" s="3">
        <f>E19*1000</f>
        <v>34.324715436970095</v>
      </c>
      <c r="J30" s="3">
        <f>F19*1000</f>
        <v>281.35719465052802</v>
      </c>
      <c r="L30" s="3">
        <f>G19*1000</f>
        <v>195.28975036788401</v>
      </c>
      <c r="M30" s="3"/>
    </row>
    <row r="31" spans="1:13" x14ac:dyDescent="0.2">
      <c r="A31" t="s">
        <v>28</v>
      </c>
      <c r="B31" s="3">
        <f>B32</f>
        <v>5.90011965332556</v>
      </c>
      <c r="C31" s="3">
        <f>B30-B31</f>
        <v>9.9607937500000396</v>
      </c>
      <c r="D31" s="3">
        <f>D32</f>
        <v>266.92897852684399</v>
      </c>
      <c r="E31" s="3">
        <f>D30-D31</f>
        <v>1.0016221276998749E-2</v>
      </c>
      <c r="F31" s="3">
        <f>F32</f>
        <v>121.56339683532801</v>
      </c>
      <c r="G31" s="3">
        <f>F30-F31</f>
        <v>1.4087868223981559E-2</v>
      </c>
      <c r="H31" s="3">
        <f>H32</f>
        <v>16.888947728636801</v>
      </c>
      <c r="I31" s="3">
        <f>H30-H31</f>
        <v>17.435767708333294</v>
      </c>
      <c r="J31" s="3">
        <f>J32</f>
        <v>276.33719221882404</v>
      </c>
      <c r="K31" s="3">
        <f>J30-J31</f>
        <v>5.020002431703972</v>
      </c>
      <c r="L31" s="3">
        <f>L32</f>
        <v>175.88973324869801</v>
      </c>
      <c r="M31" s="3">
        <f>L30-L31</f>
        <v>19.400017119186003</v>
      </c>
    </row>
    <row r="32" spans="1:13" x14ac:dyDescent="0.2">
      <c r="A32" t="s">
        <v>26</v>
      </c>
      <c r="B32" s="3">
        <f t="shared" ref="B32" si="10">B20*1000</f>
        <v>5.90011965332556</v>
      </c>
      <c r="D32" s="3">
        <f>C20*1000</f>
        <v>266.92897852684399</v>
      </c>
      <c r="F32" s="3">
        <f>D20*1000</f>
        <v>121.56339683532801</v>
      </c>
      <c r="H32" s="3">
        <f>E20*1000</f>
        <v>16.888947728636801</v>
      </c>
      <c r="J32" s="3">
        <f>F20*1000</f>
        <v>276.33719221882404</v>
      </c>
      <c r="L32" s="3">
        <f>G20*1000</f>
        <v>175.88973324869801</v>
      </c>
      <c r="M32" s="3"/>
    </row>
    <row r="33" spans="1:13" x14ac:dyDescent="0.2">
      <c r="A33" t="s">
        <v>29</v>
      </c>
      <c r="B33" s="3">
        <f>B34</f>
        <v>-249.943433182191</v>
      </c>
      <c r="C33" s="3">
        <f>IF(B34&lt;0,B32,B32-B34)</f>
        <v>5.90011965332556</v>
      </c>
      <c r="D33" s="3">
        <f>D34</f>
        <v>11.0854256913276</v>
      </c>
      <c r="E33" s="3">
        <f>IF(D34&lt;0,D32,D32-D34)</f>
        <v>255.84355283551639</v>
      </c>
      <c r="F33" s="3">
        <f>F34</f>
        <v>-134.28015600018799</v>
      </c>
      <c r="G33" s="3">
        <f>IF(F34&lt;0,F32,F32-F34)</f>
        <v>121.56339683532801</v>
      </c>
      <c r="H33" s="3">
        <f>H34</f>
        <v>-238.954605106879</v>
      </c>
      <c r="I33" s="3">
        <f>IF(H34&lt;0,H32,H32-H34)</f>
        <v>16.888947728636801</v>
      </c>
      <c r="J33" s="3">
        <f>J34</f>
        <v>20.4936393833074</v>
      </c>
      <c r="K33" s="3">
        <f>IF(J34&lt;0,J32,J32-J34)</f>
        <v>255.84355283551665</v>
      </c>
      <c r="L33" s="3">
        <f>L34</f>
        <v>-79.953819586818099</v>
      </c>
      <c r="M33" s="3">
        <f>IF(L34&lt;0,L32,L32-L34)</f>
        <v>175.88973324869801</v>
      </c>
    </row>
    <row r="34" spans="1:13" x14ac:dyDescent="0.2">
      <c r="A34" t="s">
        <v>30</v>
      </c>
      <c r="B34" s="3">
        <f t="shared" ref="B34" si="11">B21*1000</f>
        <v>-249.943433182191</v>
      </c>
      <c r="D34" s="3">
        <f>C21*1000</f>
        <v>11.0854256913276</v>
      </c>
      <c r="F34" s="3">
        <f>D21*1000</f>
        <v>-134.28015600018799</v>
      </c>
      <c r="H34" s="3">
        <f>E21*1000</f>
        <v>-238.954605106879</v>
      </c>
      <c r="J34" s="3">
        <f>F21*1000</f>
        <v>20.4936393833074</v>
      </c>
      <c r="L34" s="3">
        <f>G21*1000</f>
        <v>-79.953819586818099</v>
      </c>
      <c r="M34" s="3"/>
    </row>
    <row r="39" spans="1:13" x14ac:dyDescent="0.2">
      <c r="B39" t="s">
        <v>31</v>
      </c>
      <c r="C39" t="s">
        <v>32</v>
      </c>
      <c r="D39" t="s">
        <v>33</v>
      </c>
    </row>
    <row r="40" spans="1:13" x14ac:dyDescent="0.2">
      <c r="B40" s="3">
        <f>D7/$B$24*1000000</f>
        <v>0.98907399628523596</v>
      </c>
      <c r="C40" s="3">
        <f>C11/$B$24*1000000</f>
        <v>1.4836109944278539</v>
      </c>
      <c r="D40" s="3">
        <f>C15/$B$24*1000000</f>
        <v>1.2857961951708066</v>
      </c>
    </row>
    <row r="41" spans="1:13" x14ac:dyDescent="0.2">
      <c r="B41" s="3">
        <f>D8/$B$24*1000000</f>
        <v>0.98907399628523596</v>
      </c>
      <c r="C41" s="3">
        <f>C12/$B$24*1000000</f>
        <v>1.4836109944278539</v>
      </c>
      <c r="D41" s="3">
        <f t="shared" ref="D41:D42" si="12">C16/$B$24*1000000</f>
        <v>1.2857961951708066</v>
      </c>
    </row>
    <row r="42" spans="1:13" x14ac:dyDescent="0.2">
      <c r="B42" s="3">
        <f>D9/$B$24*1000000</f>
        <v>-5.4069378463592894</v>
      </c>
      <c r="C42" s="3">
        <f>C13/$B$24*1000000</f>
        <v>0</v>
      </c>
      <c r="D42" s="3">
        <f t="shared" si="12"/>
        <v>3.2969133209507867E-2</v>
      </c>
    </row>
    <row r="43" spans="1:13" x14ac:dyDescent="0.2">
      <c r="A43" t="s">
        <v>23</v>
      </c>
      <c r="B43" s="3">
        <f>D10/$B$24*1000</f>
        <v>2.4990602972806957E-2</v>
      </c>
      <c r="C43" s="3">
        <f>C14/$B$24*1000</f>
        <v>5.0772465142642107E-3</v>
      </c>
      <c r="D43" s="3">
        <f>C18/$B$24*1000</f>
        <v>5.0113082478451957E-3</v>
      </c>
    </row>
    <row r="67" spans="6:10" x14ac:dyDescent="0.2">
      <c r="F67">
        <v>1</v>
      </c>
      <c r="G67">
        <v>2</v>
      </c>
      <c r="H67">
        <v>3</v>
      </c>
      <c r="I67">
        <v>4</v>
      </c>
      <c r="J67">
        <v>5</v>
      </c>
    </row>
  </sheetData>
  <conditionalFormatting sqref="B4:D5">
    <cfRule type="iconSet" priority="2">
      <iconSet iconSet="3Symbols">
        <cfvo type="percent" val="0"/>
        <cfvo type="percent" val="33"/>
        <cfvo type="percent" val="67"/>
      </iconSet>
    </cfRule>
  </conditionalFormatting>
  <conditionalFormatting sqref="B4:C5">
    <cfRule type="iconSet" priority="1">
      <iconSet showValue="0">
        <cfvo type="percent" val="0"/>
        <cfvo type="num" val="-1"/>
        <cfvo type="num" val="1"/>
      </iconSet>
    </cfRule>
  </conditionalFormatting>
  <pageMargins left="0.7" right="0.7" top="0.75" bottom="0.75" header="0.3" footer="0.3"/>
  <pageSetup paperSize="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2:G22"/>
  <sheetViews>
    <sheetView showGridLines="0" topLeftCell="H15" workbookViewId="0">
      <selection activeCell="B6" sqref="B6:G22"/>
    </sheetView>
  </sheetViews>
  <sheetFormatPr baseColWidth="10" defaultRowHeight="16" x14ac:dyDescent="0.2"/>
  <sheetData>
    <row r="2" spans="1:7" x14ac:dyDescent="0.2">
      <c r="A2" t="s">
        <v>0</v>
      </c>
      <c r="B2" t="s">
        <v>3</v>
      </c>
    </row>
    <row r="3" spans="1:7" x14ac:dyDescent="0.2">
      <c r="A3" t="s">
        <v>4</v>
      </c>
      <c r="C3" t="s">
        <v>3</v>
      </c>
    </row>
    <row r="4" spans="1:7" x14ac:dyDescent="0.2">
      <c r="A4" t="s">
        <v>9</v>
      </c>
      <c r="B4" s="1"/>
      <c r="C4" s="1"/>
      <c r="D4" t="s">
        <v>3</v>
      </c>
    </row>
    <row r="5" spans="1:7" x14ac:dyDescent="0.2">
      <c r="A5" t="s">
        <v>2</v>
      </c>
      <c r="B5" s="1"/>
      <c r="C5" s="1"/>
      <c r="E5" t="s">
        <v>3</v>
      </c>
    </row>
    <row r="6" spans="1:7" x14ac:dyDescent="0.2">
      <c r="B6" t="s">
        <v>0</v>
      </c>
      <c r="C6" t="s">
        <v>11</v>
      </c>
      <c r="D6" t="s">
        <v>13</v>
      </c>
      <c r="E6" t="s">
        <v>12</v>
      </c>
      <c r="F6" t="s">
        <v>17</v>
      </c>
      <c r="G6" t="s">
        <v>18</v>
      </c>
    </row>
    <row r="7" spans="1:7" x14ac:dyDescent="0.2">
      <c r="A7" t="s">
        <v>6</v>
      </c>
      <c r="B7">
        <v>229</v>
      </c>
      <c r="C7">
        <v>45</v>
      </c>
      <c r="D7">
        <v>30</v>
      </c>
      <c r="E7">
        <v>556</v>
      </c>
      <c r="F7">
        <v>602</v>
      </c>
      <c r="G7">
        <v>597</v>
      </c>
    </row>
    <row r="8" spans="1:7" x14ac:dyDescent="0.2">
      <c r="A8" t="s">
        <v>7</v>
      </c>
      <c r="B8">
        <v>79</v>
      </c>
      <c r="C8">
        <v>45</v>
      </c>
      <c r="D8">
        <v>30</v>
      </c>
      <c r="E8">
        <v>245</v>
      </c>
      <c r="F8">
        <v>291</v>
      </c>
      <c r="G8">
        <v>288</v>
      </c>
    </row>
    <row r="9" spans="1:7" x14ac:dyDescent="0.2">
      <c r="A9" t="s">
        <v>8</v>
      </c>
      <c r="B9">
        <v>-11561</v>
      </c>
      <c r="C9">
        <v>0</v>
      </c>
      <c r="D9">
        <v>-164</v>
      </c>
      <c r="E9">
        <v>-19155</v>
      </c>
      <c r="F9">
        <v>-19109</v>
      </c>
      <c r="G9">
        <v>-19112</v>
      </c>
    </row>
    <row r="10" spans="1:7" x14ac:dyDescent="0.2">
      <c r="A10" t="s">
        <v>5</v>
      </c>
      <c r="B10">
        <v>45497</v>
      </c>
      <c r="C10">
        <v>154</v>
      </c>
      <c r="D10">
        <v>758</v>
      </c>
      <c r="E10">
        <v>75829</v>
      </c>
      <c r="F10">
        <v>75829</v>
      </c>
      <c r="G10">
        <v>75829</v>
      </c>
    </row>
    <row r="11" spans="1:7" x14ac:dyDescent="0.2">
      <c r="B11">
        <v>0</v>
      </c>
      <c r="C11">
        <v>45</v>
      </c>
      <c r="D11">
        <v>0</v>
      </c>
      <c r="E11">
        <v>0</v>
      </c>
      <c r="F11">
        <v>53</v>
      </c>
      <c r="G11">
        <v>0</v>
      </c>
    </row>
    <row r="12" spans="1:7" x14ac:dyDescent="0.2">
      <c r="B12">
        <v>0</v>
      </c>
      <c r="C12">
        <v>45</v>
      </c>
      <c r="D12">
        <v>0</v>
      </c>
      <c r="E12">
        <v>0</v>
      </c>
      <c r="F12">
        <v>50</v>
      </c>
      <c r="G12">
        <v>0</v>
      </c>
    </row>
    <row r="13" spans="1:7" x14ac:dyDescent="0.2"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">
      <c r="B14">
        <v>0</v>
      </c>
      <c r="C14">
        <v>154</v>
      </c>
      <c r="D14">
        <v>0</v>
      </c>
      <c r="E14">
        <v>0</v>
      </c>
      <c r="F14">
        <v>162</v>
      </c>
      <c r="G14">
        <v>0</v>
      </c>
    </row>
    <row r="15" spans="1:7" x14ac:dyDescent="0.2">
      <c r="B15">
        <v>0</v>
      </c>
      <c r="C15">
        <v>39</v>
      </c>
      <c r="D15">
        <v>0</v>
      </c>
      <c r="E15">
        <v>0</v>
      </c>
      <c r="F15">
        <v>42</v>
      </c>
      <c r="G15">
        <v>0</v>
      </c>
    </row>
    <row r="16" spans="1:7" x14ac:dyDescent="0.2">
      <c r="B16">
        <v>0</v>
      </c>
      <c r="C16">
        <v>39</v>
      </c>
      <c r="D16">
        <v>0</v>
      </c>
      <c r="E16">
        <v>0</v>
      </c>
      <c r="F16">
        <v>41</v>
      </c>
      <c r="G16">
        <v>0</v>
      </c>
    </row>
    <row r="17" spans="2:7" x14ac:dyDescent="0.2">
      <c r="B17">
        <v>0</v>
      </c>
      <c r="C17">
        <v>1</v>
      </c>
      <c r="D17">
        <v>0</v>
      </c>
      <c r="E17">
        <v>0</v>
      </c>
      <c r="F17">
        <v>2</v>
      </c>
      <c r="G17">
        <v>0</v>
      </c>
    </row>
    <row r="18" spans="2:7" x14ac:dyDescent="0.2">
      <c r="B18">
        <v>0</v>
      </c>
      <c r="C18">
        <v>152</v>
      </c>
      <c r="D18">
        <v>0</v>
      </c>
      <c r="E18">
        <v>0</v>
      </c>
      <c r="F18">
        <v>152</v>
      </c>
      <c r="G18">
        <v>0</v>
      </c>
    </row>
    <row r="19" spans="2:7" x14ac:dyDescent="0.2">
      <c r="B19">
        <v>1.5860913403325599E-2</v>
      </c>
      <c r="C19">
        <v>0.26693899474812099</v>
      </c>
      <c r="D19">
        <v>0.12157748470355199</v>
      </c>
      <c r="E19">
        <v>3.4324715436970098E-2</v>
      </c>
      <c r="F19">
        <v>0.281357194650528</v>
      </c>
      <c r="G19">
        <v>0.19528975036788401</v>
      </c>
    </row>
    <row r="20" spans="2:7" x14ac:dyDescent="0.2">
      <c r="B20">
        <v>5.90011965332556E-3</v>
      </c>
      <c r="C20">
        <v>0.266928978526844</v>
      </c>
      <c r="D20">
        <v>0.12156339683532801</v>
      </c>
      <c r="E20">
        <v>1.6888947728636802E-2</v>
      </c>
      <c r="F20">
        <v>0.27633719221882402</v>
      </c>
      <c r="G20">
        <v>0.175889733248698</v>
      </c>
    </row>
    <row r="21" spans="2:7" x14ac:dyDescent="0.2">
      <c r="B21">
        <v>-0.249943433182191</v>
      </c>
      <c r="C21">
        <v>1.1085425691327601E-2</v>
      </c>
      <c r="D21">
        <v>-0.134280156000188</v>
      </c>
      <c r="E21">
        <v>-0.23895460510687899</v>
      </c>
      <c r="F21">
        <v>2.0493639383307401E-2</v>
      </c>
      <c r="G21">
        <v>-7.9953819586818103E-2</v>
      </c>
    </row>
    <row r="22" spans="2:7" x14ac:dyDescent="0.2"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</row>
  </sheetData>
  <conditionalFormatting sqref="B4:D5">
    <cfRule type="iconSet" priority="2">
      <iconSet iconSet="3Symbols">
        <cfvo type="percent" val="0"/>
        <cfvo type="percent" val="33"/>
        <cfvo type="percent" val="67"/>
      </iconSet>
    </cfRule>
  </conditionalFormatting>
  <conditionalFormatting sqref="B4:C5">
    <cfRule type="iconSet" priority="1">
      <iconSet showValue="0">
        <cfvo type="percent" val="0"/>
        <cfvo type="num" val="-1"/>
        <cfvo type="num" val="1"/>
      </iconSet>
    </cfRule>
  </conditionalFormatting>
  <pageMargins left="0.7" right="0.7" top="0.75" bottom="0.75" header="0.3" footer="0.3"/>
  <pageSetup paperSize="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2:K67"/>
  <sheetViews>
    <sheetView showGridLines="0" topLeftCell="E18" workbookViewId="0">
      <selection activeCell="J49" sqref="E36:J49"/>
    </sheetView>
  </sheetViews>
  <sheetFormatPr baseColWidth="10" defaultRowHeight="16" x14ac:dyDescent="0.2"/>
  <sheetData>
    <row r="2" spans="1:5" x14ac:dyDescent="0.2">
      <c r="A2" t="s">
        <v>0</v>
      </c>
      <c r="B2" t="s">
        <v>3</v>
      </c>
    </row>
    <row r="3" spans="1:5" x14ac:dyDescent="0.2">
      <c r="A3" t="s">
        <v>4</v>
      </c>
      <c r="C3" t="s">
        <v>3</v>
      </c>
    </row>
    <row r="4" spans="1:5" x14ac:dyDescent="0.2">
      <c r="A4" t="s">
        <v>9</v>
      </c>
      <c r="B4" s="1"/>
      <c r="C4" s="1"/>
      <c r="D4" t="s">
        <v>3</v>
      </c>
    </row>
    <row r="5" spans="1:5" x14ac:dyDescent="0.2">
      <c r="A5" t="s">
        <v>2</v>
      </c>
      <c r="B5" s="1"/>
      <c r="C5" s="1"/>
      <c r="E5" t="s">
        <v>3</v>
      </c>
    </row>
    <row r="6" spans="1:5" x14ac:dyDescent="0.2">
      <c r="B6" t="s">
        <v>19</v>
      </c>
    </row>
    <row r="7" spans="1:5" x14ac:dyDescent="0.2">
      <c r="A7" t="s">
        <v>6</v>
      </c>
      <c r="B7" s="3">
        <v>872</v>
      </c>
    </row>
    <row r="8" spans="1:5" x14ac:dyDescent="0.2">
      <c r="A8" t="s">
        <v>7</v>
      </c>
      <c r="B8" s="3">
        <v>594</v>
      </c>
    </row>
    <row r="9" spans="1:5" x14ac:dyDescent="0.2">
      <c r="A9" t="s">
        <v>8</v>
      </c>
      <c r="B9" s="3">
        <v>-8013</v>
      </c>
    </row>
    <row r="10" spans="1:5" x14ac:dyDescent="0.2">
      <c r="A10" t="s">
        <v>5</v>
      </c>
      <c r="B10">
        <v>33644</v>
      </c>
    </row>
    <row r="11" spans="1:5" x14ac:dyDescent="0.2">
      <c r="B11">
        <v>0</v>
      </c>
    </row>
    <row r="12" spans="1:5" x14ac:dyDescent="0.2">
      <c r="B12">
        <v>0</v>
      </c>
    </row>
    <row r="13" spans="1:5" x14ac:dyDescent="0.2">
      <c r="B13">
        <v>0</v>
      </c>
    </row>
    <row r="14" spans="1:5" x14ac:dyDescent="0.2">
      <c r="B14">
        <v>0</v>
      </c>
    </row>
    <row r="15" spans="1:5" x14ac:dyDescent="0.2">
      <c r="B15">
        <v>0</v>
      </c>
    </row>
    <row r="16" spans="1:5" x14ac:dyDescent="0.2">
      <c r="B16">
        <v>0</v>
      </c>
    </row>
    <row r="17" spans="1:11" x14ac:dyDescent="0.2">
      <c r="B17">
        <v>0</v>
      </c>
    </row>
    <row r="18" spans="1:11" x14ac:dyDescent="0.2">
      <c r="B18">
        <v>0</v>
      </c>
    </row>
    <row r="19" spans="1:11" x14ac:dyDescent="0.2">
      <c r="B19">
        <f>0.2784/3.36</f>
        <v>8.2857142857142851E-2</v>
      </c>
    </row>
    <row r="20" spans="1:11" x14ac:dyDescent="0.2">
      <c r="B20">
        <f>0.191/3.36</f>
        <v>5.6845238095238101E-2</v>
      </c>
    </row>
    <row r="21" spans="1:11" x14ac:dyDescent="0.2">
      <c r="B21">
        <f>-0.6697/3.36</f>
        <v>-0.19931547619047618</v>
      </c>
    </row>
    <row r="22" spans="1:11" x14ac:dyDescent="0.2">
      <c r="B22">
        <v>1</v>
      </c>
    </row>
    <row r="24" spans="1:11" x14ac:dyDescent="0.2">
      <c r="A24" t="s">
        <v>24</v>
      </c>
      <c r="B24">
        <v>7978</v>
      </c>
      <c r="C24">
        <v>7978</v>
      </c>
      <c r="D24">
        <v>7978</v>
      </c>
      <c r="E24">
        <v>7978</v>
      </c>
      <c r="F24">
        <v>7978</v>
      </c>
    </row>
    <row r="25" spans="1:11" x14ac:dyDescent="0.2">
      <c r="A25" t="s">
        <v>20</v>
      </c>
      <c r="B25" s="6">
        <f>B7*1000000/B$24</f>
        <v>109300.57658561043</v>
      </c>
      <c r="C25" s="6">
        <f t="shared" ref="C25:F25" si="0">C7*1000000/C$24</f>
        <v>0</v>
      </c>
      <c r="D25" s="6">
        <f t="shared" si="0"/>
        <v>0</v>
      </c>
      <c r="E25" s="6">
        <f t="shared" si="0"/>
        <v>0</v>
      </c>
      <c r="F25" s="6">
        <f t="shared" si="0"/>
        <v>0</v>
      </c>
    </row>
    <row r="26" spans="1:11" x14ac:dyDescent="0.2">
      <c r="A26" t="s">
        <v>26</v>
      </c>
      <c r="B26" s="6">
        <f t="shared" ref="B26:F27" si="1">B8*1000000/B$24</f>
        <v>74454.750564051137</v>
      </c>
      <c r="C26" s="6">
        <f t="shared" si="1"/>
        <v>0</v>
      </c>
      <c r="D26" s="6">
        <f t="shared" si="1"/>
        <v>0</v>
      </c>
      <c r="E26" s="6">
        <f t="shared" si="1"/>
        <v>0</v>
      </c>
      <c r="F26" s="6">
        <f t="shared" si="1"/>
        <v>0</v>
      </c>
    </row>
    <row r="27" spans="1:11" x14ac:dyDescent="0.2">
      <c r="A27" t="s">
        <v>27</v>
      </c>
      <c r="B27" s="6">
        <f t="shared" si="1"/>
        <v>-1004387.0644271747</v>
      </c>
      <c r="C27" s="6">
        <f t="shared" si="1"/>
        <v>0</v>
      </c>
      <c r="D27" s="6">
        <f t="shared" si="1"/>
        <v>0</v>
      </c>
      <c r="E27" s="6">
        <f t="shared" si="1"/>
        <v>0</v>
      </c>
      <c r="F27" s="6">
        <f t="shared" si="1"/>
        <v>0</v>
      </c>
    </row>
    <row r="29" spans="1:11" x14ac:dyDescent="0.2">
      <c r="A29" t="s">
        <v>25</v>
      </c>
    </row>
    <row r="30" spans="1:11" x14ac:dyDescent="0.2">
      <c r="A30" t="s">
        <v>20</v>
      </c>
      <c r="B30" s="3">
        <f>B19*1000</f>
        <v>82.857142857142847</v>
      </c>
      <c r="D30" s="3">
        <f>C19*1000</f>
        <v>0</v>
      </c>
      <c r="F30" s="3">
        <f>D19*1000</f>
        <v>0</v>
      </c>
      <c r="H30" s="3">
        <f>E19*1000</f>
        <v>0</v>
      </c>
      <c r="J30" s="3">
        <f>F19*1000</f>
        <v>0</v>
      </c>
    </row>
    <row r="31" spans="1:11" x14ac:dyDescent="0.2">
      <c r="A31" t="s">
        <v>28</v>
      </c>
      <c r="B31" s="3">
        <f>B32</f>
        <v>56.845238095238102</v>
      </c>
      <c r="C31" s="3">
        <f>B30-B31</f>
        <v>26.011904761904745</v>
      </c>
      <c r="D31" s="3">
        <f>D32</f>
        <v>0</v>
      </c>
      <c r="E31" s="3">
        <f>D30-D31</f>
        <v>0</v>
      </c>
      <c r="F31" s="3">
        <f>F32</f>
        <v>0</v>
      </c>
      <c r="G31" s="3">
        <f>F30-F31</f>
        <v>0</v>
      </c>
      <c r="H31" s="3">
        <f>H32</f>
        <v>0</v>
      </c>
      <c r="I31" s="3">
        <f>H30-H31</f>
        <v>0</v>
      </c>
      <c r="J31" s="3">
        <f>J32</f>
        <v>0</v>
      </c>
      <c r="K31" s="3">
        <f>J30-J31</f>
        <v>0</v>
      </c>
    </row>
    <row r="32" spans="1:11" x14ac:dyDescent="0.2">
      <c r="A32" t="s">
        <v>26</v>
      </c>
      <c r="B32" s="3">
        <f t="shared" ref="B32" si="2">B20*1000</f>
        <v>56.845238095238102</v>
      </c>
      <c r="D32" s="3">
        <f>C20*1000</f>
        <v>0</v>
      </c>
      <c r="F32" s="3">
        <f>D20*1000</f>
        <v>0</v>
      </c>
      <c r="H32" s="3">
        <f>E20*1000</f>
        <v>0</v>
      </c>
      <c r="J32" s="3">
        <f>F20*1000</f>
        <v>0</v>
      </c>
    </row>
    <row r="33" spans="1:11" x14ac:dyDescent="0.2">
      <c r="A33" t="s">
        <v>29</v>
      </c>
      <c r="B33" s="3">
        <f>B34</f>
        <v>-199.31547619047618</v>
      </c>
      <c r="C33" s="3">
        <f>IF(B34&lt;0,B32,B32-B34)</f>
        <v>56.845238095238102</v>
      </c>
      <c r="D33" s="3">
        <f>D34</f>
        <v>0</v>
      </c>
      <c r="E33" s="3">
        <f>IF(D34&lt;0,D32,D32-D34)</f>
        <v>0</v>
      </c>
      <c r="F33" s="3">
        <f>F34</f>
        <v>0</v>
      </c>
      <c r="G33" s="3">
        <f>IF(F34&lt;0,F32,F32-F34)</f>
        <v>0</v>
      </c>
      <c r="H33" s="3">
        <f>H34</f>
        <v>0</v>
      </c>
      <c r="I33" s="3">
        <f>IF(H34&lt;0,H32,H32-H34)</f>
        <v>0</v>
      </c>
      <c r="J33" s="3">
        <f>J34</f>
        <v>0</v>
      </c>
      <c r="K33" s="3">
        <f>IF(J34&lt;0,J32,J32-J34)</f>
        <v>0</v>
      </c>
    </row>
    <row r="34" spans="1:11" x14ac:dyDescent="0.2">
      <c r="A34" t="s">
        <v>30</v>
      </c>
      <c r="B34" s="3">
        <f t="shared" ref="B34" si="3">B21*1000</f>
        <v>-199.31547619047618</v>
      </c>
      <c r="D34" s="3">
        <f>C21*1000</f>
        <v>0</v>
      </c>
      <c r="F34" s="3">
        <f>D21*1000</f>
        <v>0</v>
      </c>
      <c r="H34" s="3">
        <f>E21*1000</f>
        <v>0</v>
      </c>
      <c r="J34" s="3">
        <f>F21*1000</f>
        <v>0</v>
      </c>
    </row>
    <row r="39" spans="1:11" x14ac:dyDescent="0.2">
      <c r="B39" t="s">
        <v>31</v>
      </c>
      <c r="C39" t="s">
        <v>32</v>
      </c>
      <c r="D39" t="s">
        <v>33</v>
      </c>
    </row>
    <row r="40" spans="1:11" x14ac:dyDescent="0.2">
      <c r="B40" s="3">
        <f>D7/$B$24*1000000</f>
        <v>0</v>
      </c>
      <c r="C40" s="3">
        <f>D11/$B$24*1000000</f>
        <v>0</v>
      </c>
      <c r="D40" s="3">
        <f>D15/$B$24*1000000</f>
        <v>0</v>
      </c>
    </row>
    <row r="41" spans="1:11" x14ac:dyDescent="0.2">
      <c r="B41" s="3">
        <f>D8/$B$24*1000000</f>
        <v>0</v>
      </c>
      <c r="C41" s="3">
        <f>D12/$B$24*1000000</f>
        <v>0</v>
      </c>
      <c r="D41" s="3">
        <f>D16/$B$24*1000000</f>
        <v>0</v>
      </c>
    </row>
    <row r="42" spans="1:11" x14ac:dyDescent="0.2">
      <c r="B42" s="3">
        <f>D9/$B$24*1000000</f>
        <v>0</v>
      </c>
      <c r="C42" s="3">
        <f>D13/$B$24*1000000</f>
        <v>0</v>
      </c>
      <c r="D42" s="3">
        <f>D17/$B$24*1000000</f>
        <v>0</v>
      </c>
    </row>
    <row r="43" spans="1:11" x14ac:dyDescent="0.2">
      <c r="A43" t="s">
        <v>23</v>
      </c>
      <c r="B43" s="3">
        <f>D10/$B$24*1000</f>
        <v>0</v>
      </c>
      <c r="C43" s="3">
        <f>D14/$B$24*1000</f>
        <v>0</v>
      </c>
      <c r="D43" s="3">
        <f>D18/$B$24*1000</f>
        <v>0</v>
      </c>
    </row>
    <row r="67" spans="6:10" x14ac:dyDescent="0.2">
      <c r="F67">
        <v>1</v>
      </c>
      <c r="G67">
        <v>2</v>
      </c>
      <c r="H67">
        <v>3</v>
      </c>
      <c r="I67">
        <v>4</v>
      </c>
      <c r="J67">
        <v>5</v>
      </c>
    </row>
  </sheetData>
  <conditionalFormatting sqref="B4:D5">
    <cfRule type="iconSet" priority="2">
      <iconSet iconSet="3Symbols">
        <cfvo type="percent" val="0"/>
        <cfvo type="percent" val="33"/>
        <cfvo type="percent" val="67"/>
      </iconSet>
    </cfRule>
  </conditionalFormatting>
  <conditionalFormatting sqref="B4:C5">
    <cfRule type="iconSet" priority="1">
      <iconSet showValue="0">
        <cfvo type="percent" val="0"/>
        <cfvo type="num" val="-1"/>
        <cfvo type="num" val="1"/>
      </iconSet>
    </cfRule>
  </conditionalFormatting>
  <pageMargins left="0.7" right="0.7" top="0.75" bottom="0.75" header="0.3" footer="0.3"/>
  <pageSetup paperSize="9"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2:E22"/>
  <sheetViews>
    <sheetView showGridLines="0" workbookViewId="0">
      <selection activeCell="B7" sqref="B7:B22"/>
    </sheetView>
  </sheetViews>
  <sheetFormatPr baseColWidth="10" defaultRowHeight="16" x14ac:dyDescent="0.2"/>
  <sheetData>
    <row r="2" spans="1:5" x14ac:dyDescent="0.2">
      <c r="A2" t="s">
        <v>0</v>
      </c>
      <c r="B2" t="s">
        <v>3</v>
      </c>
    </row>
    <row r="3" spans="1:5" x14ac:dyDescent="0.2">
      <c r="A3" t="s">
        <v>4</v>
      </c>
      <c r="C3" t="s">
        <v>3</v>
      </c>
    </row>
    <row r="4" spans="1:5" x14ac:dyDescent="0.2">
      <c r="A4" t="s">
        <v>9</v>
      </c>
      <c r="B4" s="1"/>
      <c r="C4" s="1"/>
      <c r="D4" t="s">
        <v>3</v>
      </c>
    </row>
    <row r="5" spans="1:5" x14ac:dyDescent="0.2">
      <c r="A5" t="s">
        <v>2</v>
      </c>
      <c r="B5" s="1"/>
      <c r="C5" s="1"/>
      <c r="E5" t="s">
        <v>3</v>
      </c>
    </row>
    <row r="6" spans="1:5" x14ac:dyDescent="0.2">
      <c r="B6" t="s">
        <v>19</v>
      </c>
    </row>
    <row r="7" spans="1:5" x14ac:dyDescent="0.2">
      <c r="A7" t="s">
        <v>6</v>
      </c>
      <c r="B7">
        <v>1846</v>
      </c>
    </row>
    <row r="8" spans="1:5" x14ac:dyDescent="0.2">
      <c r="A8" t="s">
        <v>7</v>
      </c>
      <c r="B8">
        <v>1176</v>
      </c>
    </row>
    <row r="9" spans="1:5" x14ac:dyDescent="0.2">
      <c r="A9" t="s">
        <v>8</v>
      </c>
      <c r="B9">
        <v>-16040</v>
      </c>
    </row>
    <row r="10" spans="1:5" x14ac:dyDescent="0.2">
      <c r="A10" t="s">
        <v>5</v>
      </c>
      <c r="B10">
        <v>67289</v>
      </c>
    </row>
    <row r="11" spans="1:5" x14ac:dyDescent="0.2">
      <c r="B11">
        <v>0</v>
      </c>
    </row>
    <row r="12" spans="1:5" x14ac:dyDescent="0.2">
      <c r="B12">
        <v>0</v>
      </c>
    </row>
    <row r="13" spans="1:5" x14ac:dyDescent="0.2">
      <c r="B13">
        <v>0</v>
      </c>
    </row>
    <row r="14" spans="1:5" x14ac:dyDescent="0.2">
      <c r="B14">
        <v>0</v>
      </c>
    </row>
    <row r="15" spans="1:5" x14ac:dyDescent="0.2">
      <c r="B15">
        <v>0</v>
      </c>
    </row>
    <row r="16" spans="1:5" x14ac:dyDescent="0.2">
      <c r="B16">
        <v>0</v>
      </c>
    </row>
    <row r="17" spans="2:2" x14ac:dyDescent="0.2">
      <c r="B17">
        <v>0</v>
      </c>
    </row>
    <row r="18" spans="2:2" x14ac:dyDescent="0.2">
      <c r="B18">
        <v>0</v>
      </c>
    </row>
    <row r="19" spans="2:2" x14ac:dyDescent="0.2">
      <c r="B19">
        <v>8.7524259340245006E-2</v>
      </c>
    </row>
    <row r="20" spans="2:2" x14ac:dyDescent="0.2">
      <c r="B20">
        <v>5.6147946683994997E-2</v>
      </c>
    </row>
    <row r="21" spans="2:2" x14ac:dyDescent="0.2">
      <c r="B21">
        <v>-0.19969560615152099</v>
      </c>
    </row>
    <row r="22" spans="2:2" x14ac:dyDescent="0.2">
      <c r="B22">
        <v>1</v>
      </c>
    </row>
  </sheetData>
  <conditionalFormatting sqref="B4:D5">
    <cfRule type="iconSet" priority="2">
      <iconSet iconSet="3Symbols">
        <cfvo type="percent" val="0"/>
        <cfvo type="percent" val="33"/>
        <cfvo type="percent" val="67"/>
      </iconSet>
    </cfRule>
  </conditionalFormatting>
  <conditionalFormatting sqref="B4:C5">
    <cfRule type="iconSet" priority="1">
      <iconSet showValue="0">
        <cfvo type="percent" val="0"/>
        <cfvo type="num" val="-1"/>
        <cfvo type="num" val="1"/>
      </iconSet>
    </cfRule>
  </conditionalFormatting>
  <pageMargins left="0.7" right="0.7" top="0.75" bottom="0.75" header="0.3" footer="0.3"/>
  <pageSetup paperSize="9" orientation="portrait" horizontalDpi="0" verticalDpi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2:E32"/>
  <sheetViews>
    <sheetView showGridLines="0" zoomScale="82" workbookViewId="0">
      <selection activeCell="F35" sqref="F35"/>
    </sheetView>
  </sheetViews>
  <sheetFormatPr baseColWidth="10" defaultRowHeight="16" x14ac:dyDescent="0.2"/>
  <sheetData>
    <row r="2" spans="1:5" x14ac:dyDescent="0.2">
      <c r="A2" t="s">
        <v>0</v>
      </c>
      <c r="B2" t="s">
        <v>3</v>
      </c>
    </row>
    <row r="3" spans="1:5" x14ac:dyDescent="0.2">
      <c r="A3" t="s">
        <v>4</v>
      </c>
      <c r="C3" t="s">
        <v>3</v>
      </c>
    </row>
    <row r="4" spans="1:5" x14ac:dyDescent="0.2">
      <c r="A4" t="s">
        <v>9</v>
      </c>
      <c r="B4" s="1"/>
      <c r="C4" s="1"/>
      <c r="D4" t="s">
        <v>3</v>
      </c>
    </row>
    <row r="5" spans="1:5" x14ac:dyDescent="0.2">
      <c r="A5" t="s">
        <v>2</v>
      </c>
      <c r="B5" s="1"/>
      <c r="C5" s="1"/>
      <c r="E5" t="s">
        <v>3</v>
      </c>
    </row>
    <row r="6" spans="1:5" x14ac:dyDescent="0.2">
      <c r="B6" t="s">
        <v>0</v>
      </c>
      <c r="C6" t="s">
        <v>14</v>
      </c>
      <c r="D6" t="s">
        <v>15</v>
      </c>
      <c r="E6" t="s">
        <v>16</v>
      </c>
    </row>
    <row r="7" spans="1:5" x14ac:dyDescent="0.2">
      <c r="A7" t="s">
        <v>20</v>
      </c>
      <c r="B7" s="3">
        <f>B21/B$20</f>
        <v>104.27791365328824</v>
      </c>
      <c r="C7" s="3">
        <f t="shared" ref="C7:E7" si="0">C21/C$20</f>
        <v>228.0382406089638</v>
      </c>
      <c r="D7" s="3">
        <f t="shared" si="0"/>
        <v>436.47895250083872</v>
      </c>
      <c r="E7" s="3">
        <f t="shared" si="0"/>
        <v>923.11228760741824</v>
      </c>
    </row>
    <row r="8" spans="1:5" x14ac:dyDescent="0.2">
      <c r="A8" t="s">
        <v>21</v>
      </c>
      <c r="B8" s="3">
        <f>B22/B$20*1.21469272</f>
        <v>-103.29370361346285</v>
      </c>
      <c r="C8" s="3">
        <f t="shared" ref="C8:E8" si="1">C22/C$20*1.21469272</f>
        <v>-103.29370361346285</v>
      </c>
      <c r="D8" s="3">
        <f t="shared" si="1"/>
        <v>-103.29370361346285</v>
      </c>
      <c r="E8" s="3">
        <f t="shared" si="1"/>
        <v>-103.29370361346285</v>
      </c>
    </row>
    <row r="9" spans="1:5" x14ac:dyDescent="0.2">
      <c r="A9" t="s">
        <v>22</v>
      </c>
      <c r="B9" s="3">
        <f>(B23+B22*1.21469272)/B$20</f>
        <v>84.385785243372027</v>
      </c>
      <c r="C9" s="3">
        <f t="shared" ref="C9:E9" si="2">(C23+C22*1.21469272)/C$20</f>
        <v>209.78143720303922</v>
      </c>
      <c r="D9" s="3">
        <f t="shared" si="2"/>
        <v>418.22214909491413</v>
      </c>
      <c r="E9" s="3">
        <f t="shared" si="2"/>
        <v>904.85548420149371</v>
      </c>
    </row>
    <row r="10" spans="1:5" x14ac:dyDescent="0.2">
      <c r="B10" s="3"/>
      <c r="C10" s="3"/>
      <c r="D10" s="3"/>
      <c r="E10" s="3"/>
    </row>
    <row r="11" spans="1:5" x14ac:dyDescent="0.2">
      <c r="A11" t="s">
        <v>20</v>
      </c>
      <c r="B11" s="3">
        <f>B25/B$20</f>
        <v>178.82008915837702</v>
      </c>
      <c r="C11" s="3">
        <f t="shared" ref="C11:E11" si="3">C25/C$20</f>
        <v>390.05822458835434</v>
      </c>
      <c r="D11" s="3">
        <f t="shared" si="3"/>
        <v>754.34381164736044</v>
      </c>
      <c r="E11" s="3">
        <f t="shared" si="3"/>
        <v>1375.733824413247</v>
      </c>
    </row>
    <row r="12" spans="1:5" x14ac:dyDescent="0.2">
      <c r="A12" t="s">
        <v>21</v>
      </c>
      <c r="B12" s="3">
        <f>B26/B$20*1.21469272</f>
        <v>-178.58974793623932</v>
      </c>
      <c r="C12" s="3">
        <f t="shared" ref="C12:E12" si="4">C26/C$20*1.21469272</f>
        <v>-178.58974793623932</v>
      </c>
      <c r="D12" s="3">
        <f t="shared" si="4"/>
        <v>-178.58974793623932</v>
      </c>
      <c r="E12" s="3">
        <f t="shared" si="4"/>
        <v>-178.58974793623932</v>
      </c>
    </row>
    <row r="13" spans="1:5" x14ac:dyDescent="0.2">
      <c r="A13" t="s">
        <v>22</v>
      </c>
      <c r="B13" s="3">
        <f>(B27+B26*1.21469272)/B$20</f>
        <v>144.4275746645977</v>
      </c>
      <c r="C13" s="3">
        <f t="shared" ref="C13:E13" si="5">(C27+C26*1.21469272)/C$20</f>
        <v>358.49310682873926</v>
      </c>
      <c r="D13" s="3">
        <f t="shared" si="5"/>
        <v>722.77869388774695</v>
      </c>
      <c r="E13" s="3">
        <f t="shared" si="5"/>
        <v>1344.1687066536335</v>
      </c>
    </row>
    <row r="14" spans="1:5" x14ac:dyDescent="0.2">
      <c r="B14" s="3"/>
      <c r="C14" s="3"/>
      <c r="D14" s="3"/>
      <c r="E14" s="3"/>
    </row>
    <row r="15" spans="1:5" x14ac:dyDescent="0.2">
      <c r="A15" t="s">
        <v>20</v>
      </c>
      <c r="B15" s="3">
        <f>B29/B$20</f>
        <v>1001.1515659017281</v>
      </c>
      <c r="C15" s="3">
        <f t="shared" ref="C15:E15" si="6">C29/C$20</f>
        <v>1892.6442835786636</v>
      </c>
      <c r="D15" s="3">
        <f t="shared" si="6"/>
        <v>3450.0511484207109</v>
      </c>
      <c r="E15" s="3">
        <f t="shared" si="6"/>
        <v>4749.0256738313101</v>
      </c>
    </row>
    <row r="16" spans="1:5" x14ac:dyDescent="0.2">
      <c r="A16" t="s">
        <v>21</v>
      </c>
      <c r="B16" s="3">
        <f>B30/B$20*1.21469272</f>
        <v>-1223.3389602378975</v>
      </c>
      <c r="C16" s="3">
        <f t="shared" ref="C16:E16" si="7">C30/C$20*1.21469272</f>
        <v>-1223.3389602378975</v>
      </c>
      <c r="D16" s="3">
        <f t="shared" si="7"/>
        <v>-1223.3389602378975</v>
      </c>
      <c r="E16" s="3">
        <f t="shared" si="7"/>
        <v>-1223.3389602378975</v>
      </c>
    </row>
    <row r="17" spans="1:5" x14ac:dyDescent="0.2">
      <c r="A17" t="s">
        <v>22</v>
      </c>
      <c r="B17" s="3">
        <f>(B31+B30*1.21469272)/B$20</f>
        <v>762.23651849258056</v>
      </c>
      <c r="C17" s="3">
        <f t="shared" ref="C17:E17" si="8">(C31+C30*1.21469272)/C$20</f>
        <v>1676.4233706423827</v>
      </c>
      <c r="D17" s="3">
        <f t="shared" si="8"/>
        <v>3233.83023548443</v>
      </c>
      <c r="E17" s="3">
        <f t="shared" si="8"/>
        <v>4532.8047608950455</v>
      </c>
    </row>
    <row r="18" spans="1:5" x14ac:dyDescent="0.2">
      <c r="B18" s="3"/>
      <c r="C18" s="3"/>
      <c r="D18" s="3"/>
      <c r="E18" s="3"/>
    </row>
    <row r="20" spans="1:5" x14ac:dyDescent="0.2">
      <c r="B20">
        <v>59138</v>
      </c>
      <c r="C20">
        <v>59138</v>
      </c>
      <c r="D20">
        <v>59138</v>
      </c>
      <c r="E20">
        <v>59138</v>
      </c>
    </row>
    <row r="21" spans="1:5" x14ac:dyDescent="0.2">
      <c r="B21">
        <v>6166787.2576281596</v>
      </c>
      <c r="C21">
        <v>13485725.473132901</v>
      </c>
      <c r="D21">
        <v>25812492.2929946</v>
      </c>
      <c r="E21">
        <v>54591014.464527503</v>
      </c>
    </row>
    <row r="22" spans="1:5" x14ac:dyDescent="0.2">
      <c r="B22">
        <v>-5028912.20447338</v>
      </c>
      <c r="C22">
        <v>-5028912.20447338</v>
      </c>
      <c r="D22">
        <v>-5028912.20447338</v>
      </c>
      <c r="E22">
        <v>-5028912.20447338</v>
      </c>
    </row>
    <row r="23" spans="1:5" x14ac:dyDescent="0.2">
      <c r="B23">
        <v>11098989.612015501</v>
      </c>
      <c r="C23">
        <v>18514637.6776063</v>
      </c>
      <c r="D23">
        <v>30841404.497467998</v>
      </c>
      <c r="E23">
        <v>59619926.669000901</v>
      </c>
    </row>
    <row r="24" spans="1:5" x14ac:dyDescent="0.2">
      <c r="B24">
        <v>1842255.58903701</v>
      </c>
      <c r="C24">
        <v>5279730.3620014796</v>
      </c>
      <c r="D24">
        <v>20814683.776022501</v>
      </c>
      <c r="E24">
        <v>51392430.099924199</v>
      </c>
    </row>
    <row r="25" spans="1:5" x14ac:dyDescent="0.2">
      <c r="B25">
        <v>10575062.4326481</v>
      </c>
      <c r="C25">
        <v>23067263.285706099</v>
      </c>
      <c r="D25">
        <v>44610384.333201602</v>
      </c>
      <c r="E25">
        <v>81358146.908150598</v>
      </c>
    </row>
    <row r="26" spans="1:5" x14ac:dyDescent="0.2">
      <c r="B26">
        <v>-8694742.5793852806</v>
      </c>
      <c r="C26">
        <v>-8694742.5793852806</v>
      </c>
      <c r="D26">
        <v>-8694742.5793852806</v>
      </c>
      <c r="E26">
        <v>-8694742.5793852806</v>
      </c>
    </row>
    <row r="27" spans="1:5" x14ac:dyDescent="0.2">
      <c r="B27">
        <v>19102598.4239683</v>
      </c>
      <c r="C27">
        <v>31762005.865091302</v>
      </c>
      <c r="D27">
        <v>53305126.912586898</v>
      </c>
      <c r="E27">
        <v>90052889.487535894</v>
      </c>
    </row>
    <row r="28" spans="1:5" x14ac:dyDescent="0.2">
      <c r="B28">
        <v>3163926.8616116601</v>
      </c>
      <c r="C28">
        <v>9048712.0170454606</v>
      </c>
      <c r="D28">
        <v>35976773.0555446</v>
      </c>
      <c r="E28">
        <v>75134151.987884104</v>
      </c>
    </row>
    <row r="29" spans="1:5" x14ac:dyDescent="0.2">
      <c r="B29">
        <v>59206101.304296397</v>
      </c>
      <c r="C29">
        <v>111927197.64227501</v>
      </c>
      <c r="D29">
        <v>204029124.81530401</v>
      </c>
      <c r="E29">
        <v>280847880.29903603</v>
      </c>
    </row>
    <row r="30" spans="1:5" x14ac:dyDescent="0.2">
      <c r="B30">
        <v>-59558947.0813234</v>
      </c>
      <c r="C30">
        <v>-59558947.0813234</v>
      </c>
      <c r="D30">
        <v>-59558947.0813234</v>
      </c>
      <c r="E30">
        <v>-59558947.0813234</v>
      </c>
    </row>
    <row r="31" spans="1:5" x14ac:dyDescent="0.2">
      <c r="B31">
        <v>117422962.661163</v>
      </c>
      <c r="C31">
        <v>171486144.723598</v>
      </c>
      <c r="D31">
        <v>263588071.89662701</v>
      </c>
      <c r="E31">
        <v>340406827.38036001</v>
      </c>
    </row>
    <row r="32" spans="1:5" x14ac:dyDescent="0.2">
      <c r="B32">
        <v>16417793.6047433</v>
      </c>
      <c r="C32">
        <v>42429223.7710694</v>
      </c>
      <c r="D32">
        <v>150194262.086775</v>
      </c>
      <c r="E32">
        <v>230755158.07412601</v>
      </c>
    </row>
  </sheetData>
  <conditionalFormatting sqref="B4:D5">
    <cfRule type="iconSet" priority="2">
      <iconSet iconSet="3Symbols">
        <cfvo type="percent" val="0"/>
        <cfvo type="percent" val="33"/>
        <cfvo type="percent" val="67"/>
      </iconSet>
    </cfRule>
  </conditionalFormatting>
  <conditionalFormatting sqref="B4:C5">
    <cfRule type="iconSet" priority="1">
      <iconSet showValue="0">
        <cfvo type="percent" val="0"/>
        <cfvo type="num" val="-1"/>
        <cfvo type="num" val="1"/>
      </iconSet>
    </cfRule>
  </conditionalFormatting>
  <pageMargins left="0.7" right="0.7" top="0.75" bottom="0.75" header="0.3" footer="0.3"/>
  <pageSetup paperSize="9" orientation="portrait" horizontalDpi="0" verticalDpi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2:G35"/>
  <sheetViews>
    <sheetView showGridLines="0" topLeftCell="A6" workbookViewId="0">
      <selection activeCell="B33" sqref="B33:E35"/>
    </sheetView>
  </sheetViews>
  <sheetFormatPr baseColWidth="10" defaultRowHeight="16" x14ac:dyDescent="0.2"/>
  <cols>
    <col min="2" max="5" width="14.5" bestFit="1" customWidth="1"/>
    <col min="7" max="7" width="14.5" bestFit="1" customWidth="1"/>
  </cols>
  <sheetData>
    <row r="2" spans="1:7" x14ac:dyDescent="0.2">
      <c r="A2" t="s">
        <v>0</v>
      </c>
      <c r="B2" t="s">
        <v>3</v>
      </c>
    </row>
    <row r="3" spans="1:7" x14ac:dyDescent="0.2">
      <c r="A3" t="s">
        <v>4</v>
      </c>
      <c r="C3" t="s">
        <v>3</v>
      </c>
    </row>
    <row r="4" spans="1:7" x14ac:dyDescent="0.2">
      <c r="A4" t="s">
        <v>9</v>
      </c>
      <c r="B4" s="1"/>
      <c r="C4" s="1"/>
      <c r="D4" t="s">
        <v>3</v>
      </c>
    </row>
    <row r="5" spans="1:7" x14ac:dyDescent="0.2">
      <c r="A5" t="s">
        <v>2</v>
      </c>
      <c r="B5" s="1"/>
      <c r="C5" s="1"/>
      <c r="E5" t="s">
        <v>3</v>
      </c>
    </row>
    <row r="6" spans="1:7" x14ac:dyDescent="0.2">
      <c r="B6" t="s">
        <v>0</v>
      </c>
      <c r="C6" t="s">
        <v>14</v>
      </c>
      <c r="D6" t="s">
        <v>15</v>
      </c>
      <c r="E6" t="s">
        <v>34</v>
      </c>
    </row>
    <row r="7" spans="1:7" x14ac:dyDescent="0.2">
      <c r="A7" t="s">
        <v>20</v>
      </c>
      <c r="B7" s="7">
        <f>B21/B$20</f>
        <v>1.1960565701006771E-2</v>
      </c>
      <c r="C7" s="7">
        <f t="shared" ref="C7:E7" si="0">C21/C$20</f>
        <v>2.6244059984714716E-2</v>
      </c>
      <c r="D7" s="7">
        <f t="shared" si="0"/>
        <v>4.9710835013227338E-2</v>
      </c>
      <c r="E7" s="7">
        <f t="shared" si="0"/>
        <v>0.12026758381385265</v>
      </c>
    </row>
    <row r="8" spans="1:7" x14ac:dyDescent="0.2">
      <c r="A8" t="s">
        <v>21</v>
      </c>
      <c r="B8" s="7">
        <f>B22/B$20</f>
        <v>-1.1759301415953721E-2</v>
      </c>
      <c r="C8" s="7">
        <f>C22/C$20</f>
        <v>-1.1759301415953721E-2</v>
      </c>
      <c r="D8" s="7">
        <f>D22/D$20</f>
        <v>-1.1759301415953721E-2</v>
      </c>
      <c r="E8" s="7">
        <f>E22/E$20</f>
        <v>-1.1759301415953721E-2</v>
      </c>
    </row>
    <row r="9" spans="1:7" x14ac:dyDescent="0.2">
      <c r="A9" t="s">
        <v>22</v>
      </c>
      <c r="B9" s="7">
        <f t="shared" ref="B9" si="1">(B21-B23)/B$20</f>
        <v>-5.9265054433014809E-3</v>
      </c>
      <c r="C9" s="7">
        <f>(C21-C23)/C$20</f>
        <v>5.744073059668676E-4</v>
      </c>
      <c r="D9" s="7">
        <f t="shared" ref="D9:E9" si="2">(D21-D23)/D$20</f>
        <v>3.0400370743587129E-2</v>
      </c>
      <c r="E9" s="7">
        <f t="shared" si="2"/>
        <v>0.10523762761026965</v>
      </c>
    </row>
    <row r="10" spans="1:7" x14ac:dyDescent="0.2">
      <c r="B10" s="7"/>
      <c r="C10" s="7"/>
      <c r="D10" s="7">
        <v>100</v>
      </c>
      <c r="E10" s="7">
        <v>1000</v>
      </c>
    </row>
    <row r="11" spans="1:7" x14ac:dyDescent="0.2">
      <c r="A11" t="s">
        <v>20</v>
      </c>
      <c r="B11" s="7">
        <f>B25/B$20</f>
        <v>2.059542456221073E-2</v>
      </c>
      <c r="C11" s="7">
        <f t="shared" ref="C11:E11" si="3">C25/C$20</f>
        <v>4.5198939579580454E-2</v>
      </c>
      <c r="D11" s="7">
        <f t="shared" si="3"/>
        <v>8.5946349023873436E-2</v>
      </c>
      <c r="E11" s="7">
        <f t="shared" si="3"/>
        <v>0.19293841132298625</v>
      </c>
    </row>
    <row r="12" spans="1:7" x14ac:dyDescent="0.2">
      <c r="A12" t="s">
        <v>21</v>
      </c>
      <c r="B12" s="7">
        <f t="shared" ref="B12:E12" si="4">B26/B$20</f>
        <v>-1.9940269780038621E-2</v>
      </c>
      <c r="C12" s="7">
        <f t="shared" si="4"/>
        <v>-2.0331255462000066E-2</v>
      </c>
      <c r="D12" s="7">
        <f t="shared" si="4"/>
        <v>-2.0331255462000066E-2</v>
      </c>
      <c r="E12" s="7">
        <f t="shared" si="4"/>
        <v>-2.0331255462000066E-2</v>
      </c>
    </row>
    <row r="13" spans="1:7" x14ac:dyDescent="0.2">
      <c r="A13" t="s">
        <v>22</v>
      </c>
      <c r="B13" s="7">
        <f t="shared" ref="B13:E13" si="5">(B25-B27)/B$20</f>
        <v>-1.0266510445390465E-2</v>
      </c>
      <c r="C13" s="7">
        <f t="shared" si="5"/>
        <v>9.5284863169523416E-4</v>
      </c>
      <c r="D13" s="7">
        <f t="shared" si="5"/>
        <v>5.2559503303324477E-2</v>
      </c>
      <c r="E13" s="7">
        <f t="shared" si="5"/>
        <v>0.16609081983093604</v>
      </c>
      <c r="F13">
        <v>74754</v>
      </c>
      <c r="G13" s="4">
        <f>E9*E20/F13</f>
        <v>731.29999926527091</v>
      </c>
    </row>
    <row r="14" spans="1:7" x14ac:dyDescent="0.2">
      <c r="B14" s="7"/>
      <c r="C14" s="7"/>
      <c r="D14" s="7"/>
      <c r="E14" s="7"/>
      <c r="F14">
        <v>74754</v>
      </c>
    </row>
    <row r="15" spans="1:7" x14ac:dyDescent="0.2">
      <c r="A15" t="s">
        <v>20</v>
      </c>
      <c r="B15" s="7">
        <f>B29/B$20</f>
        <v>0.12056547772532759</v>
      </c>
      <c r="C15" s="7">
        <f t="shared" ref="C15:E15" si="6">C29/C$20</f>
        <v>0.22325330751675168</v>
      </c>
      <c r="D15" s="7">
        <f t="shared" si="6"/>
        <v>0.39780442270721744</v>
      </c>
      <c r="E15" s="7">
        <f t="shared" si="6"/>
        <v>0.54494626129249124</v>
      </c>
      <c r="F15">
        <v>74754</v>
      </c>
      <c r="G15" s="3"/>
    </row>
    <row r="16" spans="1:7" x14ac:dyDescent="0.2">
      <c r="A16" t="s">
        <v>21</v>
      </c>
      <c r="B16" s="7">
        <f t="shared" ref="B16:E16" si="7">B30/B$20</f>
        <v>-0.13885337110653098</v>
      </c>
      <c r="C16" s="7">
        <f t="shared" si="7"/>
        <v>-0.13885337110653098</v>
      </c>
      <c r="D16" s="7">
        <f t="shared" si="7"/>
        <v>-0.13885337110653098</v>
      </c>
      <c r="E16" s="7">
        <f t="shared" si="7"/>
        <v>-0.13885337110653098</v>
      </c>
      <c r="F16">
        <v>74754</v>
      </c>
      <c r="G16" s="3"/>
    </row>
    <row r="17" spans="1:7" x14ac:dyDescent="0.2">
      <c r="A17" t="s">
        <v>22</v>
      </c>
      <c r="B17" s="7">
        <f t="shared" ref="B17:E17" si="8">(B29-B31)/B$20</f>
        <v>-7.7415509637051655E-2</v>
      </c>
      <c r="C17" s="7">
        <f t="shared" si="8"/>
        <v>-2.9058678383763293E-2</v>
      </c>
      <c r="D17" s="7">
        <f t="shared" si="8"/>
        <v>0.18132002818318468</v>
      </c>
      <c r="E17" s="7">
        <f t="shared" si="8"/>
        <v>0.33569235683046789</v>
      </c>
      <c r="F17">
        <v>74754</v>
      </c>
      <c r="G17" s="3"/>
    </row>
    <row r="18" spans="1:7" x14ac:dyDescent="0.2">
      <c r="B18" s="3"/>
      <c r="C18" s="3"/>
      <c r="D18" s="3"/>
      <c r="E18" s="3"/>
    </row>
    <row r="20" spans="1:7" x14ac:dyDescent="0.2">
      <c r="B20">
        <f>59138*366*24</f>
        <v>519468192</v>
      </c>
      <c r="C20">
        <f t="shared" ref="C20:E20" si="9">59138*366*24</f>
        <v>519468192</v>
      </c>
      <c r="D20">
        <f t="shared" si="9"/>
        <v>519468192</v>
      </c>
      <c r="E20">
        <f t="shared" si="9"/>
        <v>519468192</v>
      </c>
    </row>
    <row r="21" spans="1:7" x14ac:dyDescent="0.2">
      <c r="B21">
        <v>6213133.4399992004</v>
      </c>
      <c r="C21">
        <v>13632954.3909993</v>
      </c>
      <c r="D21">
        <v>25823197.5871315</v>
      </c>
      <c r="E21">
        <v>62475184.319990501</v>
      </c>
    </row>
    <row r="22" spans="1:7" x14ac:dyDescent="0.2">
      <c r="B22">
        <v>-6108583.0457285196</v>
      </c>
      <c r="C22">
        <v>-6108583.0457285196</v>
      </c>
      <c r="D22">
        <v>-6108583.0457285196</v>
      </c>
      <c r="E22">
        <v>-6108583.0457285196</v>
      </c>
    </row>
    <row r="23" spans="1:7" x14ac:dyDescent="0.2">
      <c r="B23">
        <v>9291764.5075091794</v>
      </c>
      <c r="C23">
        <v>13334568.066297101</v>
      </c>
      <c r="D23">
        <v>10031171.960830599</v>
      </c>
      <c r="E23">
        <v>7807584.1749144401</v>
      </c>
    </row>
    <row r="24" spans="1:7" x14ac:dyDescent="0.2">
      <c r="B24">
        <v>0</v>
      </c>
      <c r="C24">
        <v>0</v>
      </c>
      <c r="D24">
        <v>0</v>
      </c>
      <c r="E24">
        <v>0</v>
      </c>
    </row>
    <row r="25" spans="1:7" x14ac:dyDescent="0.2">
      <c r="B25">
        <v>10698667.960804</v>
      </c>
      <c r="C25">
        <v>23479411.423721898</v>
      </c>
      <c r="D25">
        <v>44646394.536432497</v>
      </c>
      <c r="E25">
        <v>100225367.697304</v>
      </c>
    </row>
    <row r="26" spans="1:7" x14ac:dyDescent="0.2">
      <c r="B26">
        <v>-10358335.8906289</v>
      </c>
      <c r="C26">
        <v>-10561440.5159353</v>
      </c>
      <c r="D26">
        <v>-10561440.5159353</v>
      </c>
      <c r="E26">
        <v>-10561440.5159353</v>
      </c>
    </row>
    <row r="27" spans="1:7" x14ac:dyDescent="0.2">
      <c r="B27">
        <v>16031793.5800201</v>
      </c>
      <c r="C27">
        <v>22984436.867765501</v>
      </c>
      <c r="D27">
        <v>17343404.383036502</v>
      </c>
      <c r="E27">
        <v>13946469.8119299</v>
      </c>
    </row>
    <row r="28" spans="1:7" x14ac:dyDescent="0.2">
      <c r="B28">
        <v>0</v>
      </c>
      <c r="C28">
        <v>0</v>
      </c>
      <c r="D28">
        <v>0</v>
      </c>
      <c r="E28">
        <v>0</v>
      </c>
    </row>
    <row r="29" spans="1:7" x14ac:dyDescent="0.2">
      <c r="B29">
        <v>62629930.731592201</v>
      </c>
      <c r="C29">
        <v>115972992.01374701</v>
      </c>
      <c r="D29">
        <v>206646744.23332199</v>
      </c>
      <c r="E29">
        <v>283082249.09077001</v>
      </c>
      <c r="G29" s="5"/>
    </row>
    <row r="30" spans="1:7" x14ac:dyDescent="0.2">
      <c r="B30">
        <v>-72129909.641814694</v>
      </c>
      <c r="C30">
        <v>-72129909.641814694</v>
      </c>
      <c r="D30">
        <v>-72129909.641814694</v>
      </c>
      <c r="E30">
        <v>-72129909.641814694</v>
      </c>
    </row>
    <row r="31" spans="1:7" x14ac:dyDescent="0.2">
      <c r="B31" s="8">
        <v>102844825.55551</v>
      </c>
      <c r="C31" s="8">
        <v>131068051.13567001</v>
      </c>
      <c r="D31" s="8">
        <v>112456757.019614</v>
      </c>
      <c r="E31" s="8">
        <v>108700747.419828</v>
      </c>
    </row>
    <row r="33" spans="2:5" x14ac:dyDescent="0.2">
      <c r="B33" s="9">
        <f>B29-B31</f>
        <v>-40214894.823917799</v>
      </c>
      <c r="C33" s="9">
        <f t="shared" ref="C33:E33" si="10">C29-C31</f>
        <v>-15095059.121923</v>
      </c>
      <c r="D33" s="9">
        <f t="shared" si="10"/>
        <v>94189987.213707998</v>
      </c>
      <c r="E33" s="9">
        <f t="shared" si="10"/>
        <v>174381501.67094201</v>
      </c>
    </row>
    <row r="34" spans="2:5" x14ac:dyDescent="0.2">
      <c r="B34">
        <v>900000</v>
      </c>
      <c r="C34">
        <v>900000</v>
      </c>
      <c r="D34">
        <v>900000</v>
      </c>
      <c r="E34">
        <v>900000</v>
      </c>
    </row>
    <row r="35" spans="2:5" x14ac:dyDescent="0.2">
      <c r="B35" s="10">
        <f>B33/B34</f>
        <v>-44.683216471019776</v>
      </c>
      <c r="C35" s="10">
        <f t="shared" ref="C35:E35" si="11">C33/C34</f>
        <v>-16.772287913247776</v>
      </c>
      <c r="D35" s="10">
        <f t="shared" si="11"/>
        <v>104.65554134856444</v>
      </c>
      <c r="E35" s="10">
        <f t="shared" si="11"/>
        <v>193.75722407882446</v>
      </c>
    </row>
  </sheetData>
  <conditionalFormatting sqref="B4:D5">
    <cfRule type="iconSet" priority="2">
      <iconSet iconSet="3Symbols">
        <cfvo type="percent" val="0"/>
        <cfvo type="percent" val="33"/>
        <cfvo type="percent" val="67"/>
      </iconSet>
    </cfRule>
  </conditionalFormatting>
  <conditionalFormatting sqref="B4:C5">
    <cfRule type="iconSet" priority="1">
      <iconSet showValue="0">
        <cfvo type="percent" val="0"/>
        <cfvo type="num" val="-1"/>
        <cfvo type="num" val="1"/>
      </iconSet>
    </cfRule>
  </conditionalFormatting>
  <pageMargins left="0.7" right="0.7" top="0.75" bottom="0.75" header="0.3" footer="0.3"/>
  <pageSetup paperSize="9" orientation="portrait" horizontalDpi="0" verticalDpi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2:G36"/>
  <sheetViews>
    <sheetView showGridLines="0" tabSelected="1" topLeftCell="A6" workbookViewId="0">
      <selection activeCell="E32" sqref="E32"/>
    </sheetView>
  </sheetViews>
  <sheetFormatPr baseColWidth="10" defaultRowHeight="16" x14ac:dyDescent="0.2"/>
  <cols>
    <col min="2" max="2" width="16.1640625" bestFit="1" customWidth="1"/>
    <col min="3" max="5" width="16.5" bestFit="1" customWidth="1"/>
  </cols>
  <sheetData>
    <row r="2" spans="1:7" x14ac:dyDescent="0.2">
      <c r="A2" t="s">
        <v>0</v>
      </c>
      <c r="B2" t="s">
        <v>3</v>
      </c>
    </row>
    <row r="3" spans="1:7" x14ac:dyDescent="0.2">
      <c r="A3" t="s">
        <v>4</v>
      </c>
      <c r="C3" t="s">
        <v>3</v>
      </c>
    </row>
    <row r="4" spans="1:7" x14ac:dyDescent="0.2">
      <c r="A4" t="s">
        <v>9</v>
      </c>
      <c r="B4" s="1"/>
      <c r="C4" s="1"/>
      <c r="D4" t="s">
        <v>3</v>
      </c>
    </row>
    <row r="5" spans="1:7" x14ac:dyDescent="0.2">
      <c r="A5" t="s">
        <v>2</v>
      </c>
      <c r="B5" s="1"/>
      <c r="C5" s="1"/>
      <c r="E5" t="s">
        <v>3</v>
      </c>
    </row>
    <row r="6" spans="1:7" x14ac:dyDescent="0.2">
      <c r="B6" t="s">
        <v>0</v>
      </c>
      <c r="C6" t="s">
        <v>12</v>
      </c>
      <c r="D6" t="s">
        <v>17</v>
      </c>
      <c r="E6" t="s">
        <v>18</v>
      </c>
    </row>
    <row r="7" spans="1:7" x14ac:dyDescent="0.2">
      <c r="A7" t="s">
        <v>20</v>
      </c>
      <c r="B7" s="4">
        <f>B21/B$20</f>
        <v>5.2345562070538788E-3</v>
      </c>
      <c r="C7" s="4">
        <f t="shared" ref="C7:E7" si="0">C21/C$20</f>
        <v>1.4316861788927524E-2</v>
      </c>
      <c r="D7" s="4">
        <f t="shared" si="0"/>
        <v>6.6946390624394489E-2</v>
      </c>
      <c r="E7" s="4">
        <f t="shared" si="0"/>
        <v>5.8624231394611773E-2</v>
      </c>
    </row>
    <row r="8" spans="1:7" x14ac:dyDescent="0.2">
      <c r="A8" t="s">
        <v>21</v>
      </c>
      <c r="B8" s="4">
        <f>B22/B$20</f>
        <v>-3.9964346797504687E-3</v>
      </c>
      <c r="C8" s="4">
        <f>C22/C$20</f>
        <v>-3.9964346797504687E-3</v>
      </c>
      <c r="D8" s="4">
        <f>D22/D$20</f>
        <v>-3.9964346797504687E-3</v>
      </c>
      <c r="E8" s="4">
        <f>E22/E$20</f>
        <v>-3.9964346797504687E-3</v>
      </c>
    </row>
    <row r="9" spans="1:7" x14ac:dyDescent="0.2">
      <c r="A9" t="s">
        <v>22</v>
      </c>
      <c r="B9" s="4">
        <f t="shared" ref="B9" si="1">(B21-B23)/B$20</f>
        <v>-2.8583180366642991E-3</v>
      </c>
      <c r="C9" s="4">
        <f>(C21-C23)/C$20</f>
        <v>2.5246071048218377E-3</v>
      </c>
      <c r="D9" s="4">
        <f t="shared" ref="D9:E9" si="2">(D21-D23)/D$20</f>
        <v>5.8798827205787024E-2</v>
      </c>
      <c r="E9" s="4">
        <f t="shared" si="2"/>
        <v>5.074425536946657E-2</v>
      </c>
      <c r="G9" s="3"/>
    </row>
    <row r="10" spans="1:7" x14ac:dyDescent="0.2">
      <c r="B10" s="4"/>
      <c r="C10" s="4"/>
      <c r="D10" s="4"/>
      <c r="E10" s="4"/>
    </row>
    <row r="11" spans="1:7" x14ac:dyDescent="0.2">
      <c r="A11" t="s">
        <v>20</v>
      </c>
      <c r="B11" s="4">
        <f>B25/B$20</f>
        <v>9.0129538163349118E-3</v>
      </c>
      <c r="C11" s="4">
        <f t="shared" ref="C11:E11" si="3">C25/C$20</f>
        <v>2.4749745067888154E-2</v>
      </c>
      <c r="D11" s="4">
        <f t="shared" si="3"/>
        <v>7.7542022412775011E-2</v>
      </c>
      <c r="E11" s="4">
        <f t="shared" si="3"/>
        <v>6.8953562408218594E-2</v>
      </c>
    </row>
    <row r="12" spans="1:7" x14ac:dyDescent="0.2">
      <c r="A12" t="s">
        <v>21</v>
      </c>
      <c r="B12" s="4">
        <f t="shared" ref="B12:E12" si="4">B26/B$20</f>
        <v>-6.9096395727188892E-3</v>
      </c>
      <c r="C12" s="4">
        <f t="shared" si="4"/>
        <v>-6.9096395727188892E-3</v>
      </c>
      <c r="D12" s="4">
        <f t="shared" si="4"/>
        <v>-6.9096395727188892E-3</v>
      </c>
      <c r="E12" s="4">
        <f t="shared" si="4"/>
        <v>-6.9096395727188892E-3</v>
      </c>
    </row>
    <row r="13" spans="1:7" x14ac:dyDescent="0.2">
      <c r="A13" t="s">
        <v>22</v>
      </c>
      <c r="B13" s="4">
        <f t="shared" ref="B13:E13" si="5">(B25-B27)/B$20</f>
        <v>-4.9588732260277555E-3</v>
      </c>
      <c r="C13" s="4">
        <f t="shared" si="5"/>
        <v>4.3615150213097498E-3</v>
      </c>
      <c r="D13" s="4">
        <f t="shared" si="5"/>
        <v>6.0726286557547873E-2</v>
      </c>
      <c r="E13" s="4">
        <f t="shared" si="5"/>
        <v>5.5140736712877218E-2</v>
      </c>
    </row>
    <row r="14" spans="1:7" x14ac:dyDescent="0.2">
      <c r="B14" s="4"/>
      <c r="C14" s="4"/>
      <c r="D14" s="4"/>
      <c r="E14" s="4"/>
    </row>
    <row r="15" spans="1:7" x14ac:dyDescent="0.2">
      <c r="A15" t="s">
        <v>20</v>
      </c>
      <c r="B15" s="4">
        <f>B29/B$20</f>
        <v>5.882770710603618E-2</v>
      </c>
      <c r="C15" s="4">
        <f t="shared" ref="C15:E15" si="6">C29/C$20</f>
        <v>0.17118702813282749</v>
      </c>
      <c r="D15" s="4">
        <f t="shared" si="6"/>
        <v>0.22421190763782284</v>
      </c>
      <c r="E15" s="4">
        <f t="shared" si="6"/>
        <v>0.21473457665649917</v>
      </c>
    </row>
    <row r="16" spans="1:7" x14ac:dyDescent="0.2">
      <c r="A16" t="s">
        <v>21</v>
      </c>
      <c r="B16" s="4">
        <f t="shared" ref="B16:E16" si="7">B30/B$20</f>
        <v>-4.8115033466776549E-2</v>
      </c>
      <c r="C16" s="4">
        <f t="shared" si="7"/>
        <v>-4.8115033466776549E-2</v>
      </c>
      <c r="D16" s="4">
        <f t="shared" si="7"/>
        <v>-4.8115033466776549E-2</v>
      </c>
      <c r="E16" s="4">
        <f t="shared" si="7"/>
        <v>-4.8115033466776549E-2</v>
      </c>
    </row>
    <row r="17" spans="1:5" x14ac:dyDescent="0.2">
      <c r="A17" t="s">
        <v>22</v>
      </c>
      <c r="B17" s="4">
        <f t="shared" ref="B17:E17" si="8">(B29-B31)/B$20</f>
        <v>-3.6260623953221979E-2</v>
      </c>
      <c r="C17" s="4">
        <f t="shared" si="8"/>
        <v>2.9678488217587212E-2</v>
      </c>
      <c r="D17" s="4">
        <f t="shared" si="8"/>
        <v>8.6165734731619079E-2</v>
      </c>
      <c r="E17" s="4">
        <f t="shared" si="8"/>
        <v>8.2263957336598123E-2</v>
      </c>
    </row>
    <row r="18" spans="1:5" x14ac:dyDescent="0.2">
      <c r="B18" s="3"/>
      <c r="C18" s="3"/>
      <c r="D18" s="3"/>
      <c r="E18" s="3"/>
    </row>
    <row r="20" spans="1:5" x14ac:dyDescent="0.2">
      <c r="B20">
        <f>87793*366*24</f>
        <v>771173712</v>
      </c>
      <c r="C20">
        <f t="shared" ref="C20:E20" si="9">87793*366*24</f>
        <v>771173712</v>
      </c>
      <c r="D20">
        <f t="shared" si="9"/>
        <v>771173712</v>
      </c>
      <c r="E20">
        <f t="shared" si="9"/>
        <v>771173712</v>
      </c>
    </row>
    <row r="21" spans="1:5" x14ac:dyDescent="0.2">
      <c r="B21">
        <v>4036752.1408663802</v>
      </c>
      <c r="C21">
        <v>11040787.4499582</v>
      </c>
      <c r="D21">
        <v>51627296.562816299</v>
      </c>
      <c r="E21">
        <v>45209466.137729697</v>
      </c>
    </row>
    <row r="22" spans="1:5" x14ac:dyDescent="0.2">
      <c r="B22">
        <v>-3081945.3667486999</v>
      </c>
      <c r="C22">
        <v>-3081945.3667486999</v>
      </c>
      <c r="D22">
        <v>-3081945.3667486999</v>
      </c>
      <c r="E22">
        <v>-3081945.3667486999</v>
      </c>
    </row>
    <row r="23" spans="1:5" x14ac:dyDescent="0.2">
      <c r="B23">
        <v>6241011.8712773398</v>
      </c>
      <c r="C23">
        <v>9093876.8175911698</v>
      </c>
      <c r="D23">
        <v>6283186.7252829298</v>
      </c>
      <c r="E23">
        <v>6076830.3617822304</v>
      </c>
    </row>
    <row r="24" spans="1:5" x14ac:dyDescent="0.2">
      <c r="E24">
        <v>0</v>
      </c>
    </row>
    <row r="25" spans="1:5" x14ac:dyDescent="0.2">
      <c r="B25">
        <v>6950553.0506275604</v>
      </c>
      <c r="C25">
        <v>19086352.775056999</v>
      </c>
      <c r="D25">
        <v>59798369.260046899</v>
      </c>
      <c r="E25">
        <v>53175174.677969597</v>
      </c>
    </row>
    <row r="26" spans="1:5" x14ac:dyDescent="0.2">
      <c r="B26">
        <v>-5328532.3978757197</v>
      </c>
      <c r="C26">
        <v>-5328532.3978757197</v>
      </c>
      <c r="D26">
        <v>-5328532.3978757197</v>
      </c>
      <c r="E26">
        <v>-5328532.3978757197</v>
      </c>
    </row>
    <row r="27" spans="1:5" x14ac:dyDescent="0.2">
      <c r="B27">
        <v>10774705.7236808</v>
      </c>
      <c r="C27">
        <v>15722867.0461298</v>
      </c>
      <c r="D27">
        <v>12967853.439487001</v>
      </c>
      <c r="E27">
        <v>10652088.064685401</v>
      </c>
    </row>
    <row r="28" spans="1:5" x14ac:dyDescent="0.2">
      <c r="E28">
        <v>0</v>
      </c>
    </row>
    <row r="29" spans="1:5" x14ac:dyDescent="0.2">
      <c r="B29" s="8">
        <v>45366381.257410698</v>
      </c>
      <c r="C29" s="8">
        <v>132014935.93144099</v>
      </c>
      <c r="D29" s="8">
        <v>172906329.087661</v>
      </c>
      <c r="E29" s="8">
        <v>165597660.57494101</v>
      </c>
    </row>
    <row r="30" spans="1:5" x14ac:dyDescent="0.2">
      <c r="B30" s="8">
        <v>-37105048.961578302</v>
      </c>
      <c r="C30" s="8">
        <v>-37105048.961578302</v>
      </c>
      <c r="D30" s="8">
        <v>-37105048.961578302</v>
      </c>
      <c r="E30" s="8">
        <v>-37105048.961578302</v>
      </c>
    </row>
    <row r="31" spans="1:5" x14ac:dyDescent="0.2">
      <c r="B31" s="8">
        <v>73329621.230853006</v>
      </c>
      <c r="C31" s="8">
        <v>109127666.006136</v>
      </c>
      <c r="D31" s="8">
        <v>106457579.58747099</v>
      </c>
      <c r="E31" s="8">
        <v>102157859.231867</v>
      </c>
    </row>
    <row r="33" spans="2:5" x14ac:dyDescent="0.2">
      <c r="B33" s="9">
        <f>B29-B31</f>
        <v>-27963239.973442309</v>
      </c>
      <c r="C33" s="9">
        <f t="shared" ref="C33:E33" si="10">C29-C31</f>
        <v>22887269.925304994</v>
      </c>
      <c r="D33" s="9">
        <f t="shared" si="10"/>
        <v>66448749.500190005</v>
      </c>
      <c r="E33" s="9">
        <f t="shared" si="10"/>
        <v>63439801.343074009</v>
      </c>
    </row>
    <row r="34" spans="2:5" x14ac:dyDescent="0.2">
      <c r="B34">
        <v>900000</v>
      </c>
      <c r="C34">
        <v>900000</v>
      </c>
      <c r="D34">
        <v>900000</v>
      </c>
      <c r="E34">
        <v>900000</v>
      </c>
    </row>
    <row r="35" spans="2:5" x14ac:dyDescent="0.2">
      <c r="B35" s="11">
        <f>B33/B34</f>
        <v>-31.07026663715812</v>
      </c>
      <c r="C35" s="11">
        <f t="shared" ref="C35:E35" si="11">C33/C34</f>
        <v>25.430299917005549</v>
      </c>
      <c r="D35" s="11">
        <f t="shared" si="11"/>
        <v>73.831943889100003</v>
      </c>
      <c r="E35" s="11">
        <f t="shared" si="11"/>
        <v>70.488668158971123</v>
      </c>
    </row>
    <row r="36" spans="2:5" x14ac:dyDescent="0.2">
      <c r="B36" s="11"/>
      <c r="C36" s="11"/>
      <c r="D36" s="11"/>
      <c r="E36" s="11"/>
    </row>
  </sheetData>
  <conditionalFormatting sqref="B4:D5">
    <cfRule type="iconSet" priority="2">
      <iconSet iconSet="3Symbols">
        <cfvo type="percent" val="0"/>
        <cfvo type="percent" val="33"/>
        <cfvo type="percent" val="67"/>
      </iconSet>
    </cfRule>
  </conditionalFormatting>
  <conditionalFormatting sqref="B4:C5">
    <cfRule type="iconSet" priority="1">
      <iconSet showValue="0">
        <cfvo type="percent" val="0"/>
        <cfvo type="num" val="-1"/>
        <cfvo type="num" val="1"/>
      </iconSet>
    </cfRule>
  </conditionalFormatting>
  <pageMargins left="0.7" right="0.7" top="0.75" bottom="0.75" header="0.3" footer="0.3"/>
  <pageSetup paperSize="9" orientation="portrait" horizontalDpi="0" verticalDpi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2:F32"/>
  <sheetViews>
    <sheetView showGridLines="0" topLeftCell="A6" workbookViewId="0">
      <selection activeCell="D31" sqref="D31"/>
    </sheetView>
  </sheetViews>
  <sheetFormatPr baseColWidth="10" defaultRowHeight="16" x14ac:dyDescent="0.2"/>
  <sheetData>
    <row r="2" spans="1:6" x14ac:dyDescent="0.2">
      <c r="A2" t="s">
        <v>0</v>
      </c>
      <c r="B2" t="s">
        <v>3</v>
      </c>
    </row>
    <row r="3" spans="1:6" x14ac:dyDescent="0.2">
      <c r="A3" t="s">
        <v>4</v>
      </c>
      <c r="C3" t="s">
        <v>3</v>
      </c>
    </row>
    <row r="4" spans="1:6" x14ac:dyDescent="0.2">
      <c r="A4" t="s">
        <v>9</v>
      </c>
      <c r="B4" s="1"/>
      <c r="C4" s="1"/>
      <c r="D4" t="s">
        <v>3</v>
      </c>
    </row>
    <row r="5" spans="1:6" x14ac:dyDescent="0.2">
      <c r="A5" t="s">
        <v>2</v>
      </c>
      <c r="B5" s="1"/>
      <c r="C5" s="1"/>
      <c r="E5" t="s">
        <v>3</v>
      </c>
    </row>
    <row r="6" spans="1:6" x14ac:dyDescent="0.2">
      <c r="B6" t="s">
        <v>19</v>
      </c>
    </row>
    <row r="7" spans="1:6" x14ac:dyDescent="0.2">
      <c r="A7" t="s">
        <v>20</v>
      </c>
      <c r="B7" s="4">
        <f t="shared" ref="B7" si="0">B21/B$20</f>
        <v>3.8819562153363116E-2</v>
      </c>
      <c r="C7" s="2"/>
      <c r="D7" s="2"/>
      <c r="E7" s="2"/>
      <c r="F7" s="2"/>
    </row>
    <row r="8" spans="1:6" x14ac:dyDescent="0.2">
      <c r="A8" t="s">
        <v>21</v>
      </c>
      <c r="B8" s="4">
        <f>B22/B$20</f>
        <v>-7.9769732997463354E-3</v>
      </c>
      <c r="C8" s="2"/>
      <c r="D8" s="2"/>
      <c r="E8" s="2"/>
      <c r="F8" s="2"/>
    </row>
    <row r="9" spans="1:6" x14ac:dyDescent="0.2">
      <c r="A9" t="s">
        <v>22</v>
      </c>
      <c r="B9" s="4">
        <f>(B23)/B$20</f>
        <v>2.2527319114642338E-2</v>
      </c>
      <c r="C9" s="2"/>
      <c r="D9" s="2"/>
      <c r="E9" s="2"/>
      <c r="F9" s="2"/>
    </row>
    <row r="10" spans="1:6" x14ac:dyDescent="0.2">
      <c r="B10" s="4">
        <f t="shared" ref="B10:B18" si="1">B24/1000000</f>
        <v>1.5568239993561299</v>
      </c>
      <c r="C10" s="2"/>
      <c r="D10" s="2"/>
      <c r="E10" s="2"/>
      <c r="F10" s="2"/>
    </row>
    <row r="11" spans="1:6" x14ac:dyDescent="0.2">
      <c r="A11" t="s">
        <v>20</v>
      </c>
      <c r="B11" s="4">
        <f t="shared" ref="B11" si="2">B25/B$20</f>
        <v>6.7117119218684865E-2</v>
      </c>
      <c r="C11" s="2"/>
      <c r="D11" s="2"/>
      <c r="E11" s="2"/>
      <c r="F11" s="2"/>
    </row>
    <row r="12" spans="1:6" x14ac:dyDescent="0.2">
      <c r="A12" t="s">
        <v>21</v>
      </c>
      <c r="B12" s="4">
        <f>B26/B$20</f>
        <v>-1.3791795637678437E-2</v>
      </c>
      <c r="C12" s="2"/>
      <c r="D12" s="2"/>
      <c r="E12" s="2"/>
      <c r="F12" s="2"/>
    </row>
    <row r="13" spans="1:6" x14ac:dyDescent="0.2">
      <c r="A13" t="s">
        <v>22</v>
      </c>
      <c r="B13" s="4">
        <f>(B27)/B$20</f>
        <v>3.8948629990248972E-2</v>
      </c>
      <c r="C13" s="2"/>
      <c r="D13" s="2"/>
      <c r="E13" s="2"/>
      <c r="F13" s="2"/>
    </row>
    <row r="14" spans="1:6" x14ac:dyDescent="0.2">
      <c r="B14" s="4">
        <f t="shared" si="1"/>
        <v>2.6916723469082902</v>
      </c>
      <c r="C14" s="2"/>
      <c r="D14" s="2"/>
      <c r="E14" s="2"/>
      <c r="F14" s="2"/>
    </row>
    <row r="15" spans="1:6" x14ac:dyDescent="0.2">
      <c r="A15" t="s">
        <v>20</v>
      </c>
      <c r="B15" s="4">
        <f t="shared" ref="B15" si="3">B29/B$20</f>
        <v>0.46736771193550647</v>
      </c>
      <c r="C15" s="2"/>
      <c r="D15" s="2"/>
      <c r="E15" s="2"/>
    </row>
    <row r="16" spans="1:6" x14ac:dyDescent="0.2">
      <c r="A16" t="s">
        <v>21</v>
      </c>
      <c r="B16" s="4">
        <f>B30/B$20</f>
        <v>-9.6038686488638655E-2</v>
      </c>
      <c r="C16" s="2"/>
      <c r="D16" s="2"/>
      <c r="E16" s="2"/>
    </row>
    <row r="17" spans="1:5" x14ac:dyDescent="0.2">
      <c r="A17" t="s">
        <v>22</v>
      </c>
      <c r="B17" s="4">
        <f>(B31)/B$20</f>
        <v>0.27121742252157971</v>
      </c>
      <c r="C17" s="2"/>
      <c r="D17" s="2"/>
      <c r="E17" s="2"/>
    </row>
    <row r="18" spans="1:5" x14ac:dyDescent="0.2">
      <c r="B18" s="4">
        <f t="shared" si="1"/>
        <v>18.743366233519499</v>
      </c>
      <c r="C18" s="2"/>
      <c r="D18" s="2"/>
      <c r="E18" s="2"/>
    </row>
    <row r="20" spans="1:5" x14ac:dyDescent="0.2">
      <c r="B20">
        <f>7978*24*366</f>
        <v>70078752</v>
      </c>
    </row>
    <row r="21" spans="1:5" x14ac:dyDescent="0.2">
      <c r="B21">
        <v>2720426.4688941198</v>
      </c>
      <c r="D21">
        <v>4849</v>
      </c>
      <c r="E21">
        <f>B21/D21</f>
        <v>561.02834994723037</v>
      </c>
    </row>
    <row r="22" spans="1:5" x14ac:dyDescent="0.2">
      <c r="B22">
        <v>-559016.33358354506</v>
      </c>
      <c r="D22">
        <v>4849</v>
      </c>
      <c r="E22">
        <f t="shared" ref="E22:E31" si="4">B22/D22</f>
        <v>-115.2848697841916</v>
      </c>
    </row>
    <row r="23" spans="1:5" x14ac:dyDescent="0.2">
      <c r="B23">
        <v>1578686.4094598799</v>
      </c>
      <c r="D23">
        <v>4849</v>
      </c>
      <c r="E23">
        <f t="shared" si="4"/>
        <v>325.56948019382963</v>
      </c>
    </row>
    <row r="24" spans="1:5" x14ac:dyDescent="0.2">
      <c r="B24">
        <v>1556823.9993561299</v>
      </c>
    </row>
    <row r="25" spans="1:5" x14ac:dyDescent="0.2">
      <c r="B25">
        <v>4703483.9526806502</v>
      </c>
      <c r="D25">
        <v>8383</v>
      </c>
      <c r="E25">
        <f t="shared" si="4"/>
        <v>561.07407284750684</v>
      </c>
    </row>
    <row r="26" spans="1:5" x14ac:dyDescent="0.2">
      <c r="B26">
        <v>-966511.82612754905</v>
      </c>
      <c r="D26">
        <v>8383</v>
      </c>
      <c r="E26">
        <f t="shared" si="4"/>
        <v>-115.29426531403425</v>
      </c>
    </row>
    <row r="27" spans="1:5" x14ac:dyDescent="0.2">
      <c r="B27">
        <v>2729471.3818264203</v>
      </c>
      <c r="D27">
        <v>8383</v>
      </c>
      <c r="E27">
        <f t="shared" si="4"/>
        <v>325.59601357824408</v>
      </c>
    </row>
    <row r="28" spans="1:5" x14ac:dyDescent="0.2">
      <c r="B28">
        <v>2691672.3469082899</v>
      </c>
    </row>
    <row r="29" spans="1:5" x14ac:dyDescent="0.2">
      <c r="B29">
        <v>32752545.977535799</v>
      </c>
      <c r="D29">
        <v>58377</v>
      </c>
      <c r="E29">
        <f t="shared" si="4"/>
        <v>561.05222908912413</v>
      </c>
    </row>
    <row r="30" spans="1:5" x14ac:dyDescent="0.2">
      <c r="B30">
        <v>-6730271.2928430596</v>
      </c>
    </row>
    <row r="31" spans="1:5" x14ac:dyDescent="0.2">
      <c r="B31">
        <v>19006578.490968999</v>
      </c>
      <c r="D31">
        <v>58377</v>
      </c>
      <c r="E31">
        <f t="shared" si="4"/>
        <v>325.5833374611405</v>
      </c>
    </row>
    <row r="32" spans="1:5" x14ac:dyDescent="0.2">
      <c r="B32">
        <v>18743366.233519498</v>
      </c>
    </row>
  </sheetData>
  <conditionalFormatting sqref="B4:D5">
    <cfRule type="iconSet" priority="2">
      <iconSet iconSet="3Symbols">
        <cfvo type="percent" val="0"/>
        <cfvo type="percent" val="33"/>
        <cfvo type="percent" val="67"/>
      </iconSet>
    </cfRule>
  </conditionalFormatting>
  <conditionalFormatting sqref="B4:C5">
    <cfRule type="iconSet" priority="1">
      <iconSet showValue="0">
        <cfvo type="percent" val="0"/>
        <cfvo type="num" val="-1"/>
        <cfvo type="num" val="1"/>
      </iconSet>
    </cfRule>
  </conditionalFormatting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Sheet1</vt:lpstr>
      <vt:lpstr>Germany_ESS</vt:lpstr>
      <vt:lpstr>Sheet2</vt:lpstr>
      <vt:lpstr>Germany_ESS_staking</vt:lpstr>
      <vt:lpstr>Germany_ESS_multitasking</vt:lpstr>
      <vt:lpstr>Germany_ESS (2)</vt:lpstr>
      <vt:lpstr>PJM_ESS_New</vt:lpstr>
      <vt:lpstr>PJM_ESS</vt:lpstr>
      <vt:lpstr>NSW_ESS_new</vt:lpstr>
      <vt:lpstr>NSW_ESS</vt:lpstr>
      <vt:lpstr>Germany_EV</vt:lpstr>
      <vt:lpstr>Germany_EV_new</vt:lpstr>
      <vt:lpstr>PJM_EV</vt:lpstr>
      <vt:lpstr>NSW_EV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gLKMPh0lFs@student.ethz.ch</dc:creator>
  <cp:lastModifiedBy>gLKMPh0lFs@student.ethz.ch</cp:lastModifiedBy>
  <dcterms:created xsi:type="dcterms:W3CDTF">2018-03-06T14:48:42Z</dcterms:created>
  <dcterms:modified xsi:type="dcterms:W3CDTF">2018-04-12T19:15:02Z</dcterms:modified>
</cp:coreProperties>
</file>